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Sô_la_mviê_cNa_y" defaultThemeVersion="202300"/>
  <mc:AlternateContent xmlns:mc="http://schemas.openxmlformats.org/markup-compatibility/2006">
    <mc:Choice Requires="x15">
      <x15ac:absPath xmlns:x15ac="http://schemas.microsoft.com/office/spreadsheetml/2010/11/ac" url="F:\SSD\2321004059_PhanHongPhuc_2611101068504\"/>
    </mc:Choice>
  </mc:AlternateContent>
  <xr:revisionPtr revIDLastSave="0" documentId="13_ncr:1_{6105FFFE-C8B0-4DCD-AF7B-79DFF925BB5D}" xr6:coauthVersionLast="47" xr6:coauthVersionMax="47" xr10:uidLastSave="{00000000-0000-0000-0000-000000000000}"/>
  <bookViews>
    <workbookView xWindow="-48" yWindow="-48" windowWidth="23136" windowHeight="12336" firstSheet="3" activeTab="5" xr2:uid="{17F9DA84-CCC5-414B-9C98-9CA131224A71}"/>
  </bookViews>
  <sheets>
    <sheet name="Menu" sheetId="8" r:id="rId1"/>
    <sheet name="Sheet_Data" sheetId="3" r:id="rId2"/>
    <sheet name="Mô hình tìm hiệu quả đầu tư" sheetId="4" r:id="rId3"/>
    <sheet name="Answer Report 1" sheetId="7" r:id="rId4"/>
    <sheet name="Mô hình tìm phương án tối ưu" sheetId="5" r:id="rId5"/>
    <sheet name="Mô hình phân tích độ nhạy" sheetId="6" r:id="rId6"/>
  </sheets>
  <definedNames>
    <definedName name="solver_adj" localSheetId="4" hidden="1">'Mô hình tìm phương án tối ưu'!$G$9:$J$9</definedName>
    <definedName name="solver_cvg" localSheetId="4" hidden="1">0.0001</definedName>
    <definedName name="solver_drv" localSheetId="4" hidden="1">2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'Mô hình tìm phương án tối ưu'!$G$17</definedName>
    <definedName name="solver_lhs2" localSheetId="4" hidden="1">'Mô hình tìm phương án tối ưu'!$G$18</definedName>
    <definedName name="solver_lhs3" localSheetId="4" hidden="1">'Mô hình tìm phương án tối ưu'!$G$19</definedName>
    <definedName name="solver_lhs4" localSheetId="4" hidden="1">'Mô hình tìm phương án tối ưu'!$G$20</definedName>
    <definedName name="solver_lhs5" localSheetId="4" hidden="1">'Mô hình tìm phương án tối ưu'!$G$21</definedName>
    <definedName name="solver_lhs6" localSheetId="4" hidden="1">'Mô hình tìm phương án tối ưu'!$G$22</definedName>
    <definedName name="solver_lhs7" localSheetId="4" hidden="1">'Mô hình tìm phương án tối ưu'!$G$23</definedName>
    <definedName name="solver_lhs8" localSheetId="4" hidden="1">'Mô hình tìm phương án tối ưu'!$G$23</definedName>
    <definedName name="solver_lhs9" localSheetId="4" hidden="1">'Mô hình tìm phương án tối ưu'!$G$9:$J$9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9</definedName>
    <definedName name="solver_nwt" localSheetId="4" hidden="1">1</definedName>
    <definedName name="solver_opt" localSheetId="4" hidden="1">'Mô hình tìm phương án tối ưu'!$G$26</definedName>
    <definedName name="solver_pre" localSheetId="4" hidden="1">0.000001</definedName>
    <definedName name="solver_rbv" localSheetId="4" hidden="1">2</definedName>
    <definedName name="solver_rel1" localSheetId="4" hidden="1">1</definedName>
    <definedName name="solver_rel2" localSheetId="4" hidden="1">1</definedName>
    <definedName name="solver_rel3" localSheetId="4" hidden="1">1</definedName>
    <definedName name="solver_rel4" localSheetId="4" hidden="1">3</definedName>
    <definedName name="solver_rel5" localSheetId="4" hidden="1">1</definedName>
    <definedName name="solver_rel6" localSheetId="4" hidden="1">1</definedName>
    <definedName name="solver_rel7" localSheetId="4" hidden="1">1</definedName>
    <definedName name="solver_rel8" localSheetId="4" hidden="1">3</definedName>
    <definedName name="solver_rel9" localSheetId="4" hidden="1">4</definedName>
    <definedName name="solver_rhs1" localSheetId="4" hidden="1">'Mô hình tìm phương án tối ưu'!$H$17</definedName>
    <definedName name="solver_rhs2" localSheetId="4" hidden="1">'Mô hình tìm phương án tối ưu'!$H$18</definedName>
    <definedName name="solver_rhs3" localSheetId="4" hidden="1">'Mô hình tìm phương án tối ưu'!$H$19</definedName>
    <definedName name="solver_rhs4" localSheetId="4" hidden="1">'Mô hình tìm phương án tối ưu'!$I$20</definedName>
    <definedName name="solver_rhs5" localSheetId="4" hidden="1">'Mô hình tìm phương án tối ưu'!$H$21</definedName>
    <definedName name="solver_rhs6" localSheetId="4" hidden="1">'Mô hình tìm phương án tối ưu'!$H$22</definedName>
    <definedName name="solver_rhs7" localSheetId="4" hidden="1">'Mô hình tìm phương án tối ưu'!$H$23</definedName>
    <definedName name="solver_rhs8" localSheetId="4" hidden="1">'Mô hình tìm phương án tối ưu'!$I$23</definedName>
    <definedName name="solver_rhs9" localSheetId="4" hidden="1">"integer"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6" l="1" a="1"/>
  <c r="G19" i="6" s="1"/>
  <c r="L45" i="4"/>
  <c r="L44" i="4"/>
  <c r="G14" i="5"/>
  <c r="B3" i="6"/>
  <c r="B7" i="6" s="1"/>
  <c r="B10" i="6" s="1"/>
  <c r="I23" i="5"/>
  <c r="H23" i="5"/>
  <c r="H21" i="5"/>
  <c r="H17" i="5"/>
  <c r="G21" i="5"/>
  <c r="G23" i="5"/>
  <c r="G22" i="5"/>
  <c r="G20" i="5"/>
  <c r="H12" i="5"/>
  <c r="H13" i="5" s="1"/>
  <c r="I12" i="5"/>
  <c r="I13" i="5" s="1"/>
  <c r="J12" i="5"/>
  <c r="J13" i="5" s="1"/>
  <c r="G12" i="5"/>
  <c r="G13" i="5" s="1"/>
  <c r="J6" i="5"/>
  <c r="J14" i="5" s="1"/>
  <c r="I6" i="5"/>
  <c r="I14" i="5" s="1"/>
  <c r="H6" i="5"/>
  <c r="H14" i="5" s="1"/>
  <c r="G6" i="5"/>
  <c r="J4" i="5"/>
  <c r="J11" i="5" s="1"/>
  <c r="G19" i="5" s="1"/>
  <c r="I4" i="5"/>
  <c r="I11" i="5" s="1"/>
  <c r="H4" i="5"/>
  <c r="H11" i="5" s="1"/>
  <c r="G4" i="5"/>
  <c r="G11" i="5" s="1"/>
  <c r="H3" i="5"/>
  <c r="H10" i="5" s="1"/>
  <c r="I3" i="5"/>
  <c r="I10" i="5" s="1"/>
  <c r="J3" i="5"/>
  <c r="J10" i="5" s="1"/>
  <c r="G3" i="5"/>
  <c r="G10" i="5" s="1"/>
  <c r="S55" i="4"/>
  <c r="U15" i="4"/>
  <c r="S15" i="4"/>
  <c r="N49" i="4"/>
  <c r="O49" i="4"/>
  <c r="R49" i="4"/>
  <c r="M49" i="4"/>
  <c r="N48" i="4"/>
  <c r="O48" i="4"/>
  <c r="P48" i="4"/>
  <c r="Q48" i="4"/>
  <c r="R48" i="4"/>
  <c r="S48" i="4"/>
  <c r="M48" i="4"/>
  <c r="L47" i="4"/>
  <c r="L57" i="4" s="1"/>
  <c r="N38" i="4"/>
  <c r="N39" i="4" s="1"/>
  <c r="N40" i="4" s="1"/>
  <c r="M38" i="4"/>
  <c r="M39" i="4" s="1"/>
  <c r="M40" i="4" s="1"/>
  <c r="P38" i="4"/>
  <c r="P39" i="4" s="1"/>
  <c r="P40" i="4" s="1"/>
  <c r="L38" i="4"/>
  <c r="L39" i="4" s="1"/>
  <c r="L40" i="4" s="1"/>
  <c r="L22" i="4"/>
  <c r="L30" i="4" s="1"/>
  <c r="L27" i="4"/>
  <c r="L26" i="4"/>
  <c r="L25" i="4"/>
  <c r="L24" i="4"/>
  <c r="M18" i="4"/>
  <c r="N18" i="4"/>
  <c r="O18" i="4"/>
  <c r="P18" i="4"/>
  <c r="Q18" i="4"/>
  <c r="R18" i="4"/>
  <c r="L18" i="4"/>
  <c r="Y4" i="4"/>
  <c r="Z8" i="4" s="1"/>
  <c r="W4" i="4"/>
  <c r="X8" i="4" s="1"/>
  <c r="U4" i="4"/>
  <c r="V8" i="4" s="1"/>
  <c r="S4" i="4"/>
  <c r="T8" i="4" s="1"/>
  <c r="Q5" i="4"/>
  <c r="Q4" i="4"/>
  <c r="R8" i="4" s="1"/>
  <c r="O4" i="4"/>
  <c r="P8" i="4" s="1"/>
  <c r="M5" i="4"/>
  <c r="M4" i="4"/>
  <c r="N8" i="4" s="1"/>
  <c r="E29" i="4"/>
  <c r="F29" i="4" s="1"/>
  <c r="G29" i="4" s="1"/>
  <c r="H29" i="4" s="1"/>
  <c r="E28" i="4"/>
  <c r="F28" i="4" s="1"/>
  <c r="G28" i="4" s="1"/>
  <c r="H28" i="4" s="1"/>
  <c r="H27" i="4"/>
  <c r="E27" i="4"/>
  <c r="P49" i="4" s="1"/>
  <c r="H26" i="4"/>
  <c r="S49" i="4" s="1"/>
  <c r="E26" i="3"/>
  <c r="F26" i="3" s="1"/>
  <c r="G26" i="3" s="1"/>
  <c r="H26" i="3" s="1"/>
  <c r="E25" i="3"/>
  <c r="F25" i="3" s="1"/>
  <c r="G25" i="3" s="1"/>
  <c r="H25" i="3" s="1"/>
  <c r="H24" i="3"/>
  <c r="E24" i="3"/>
  <c r="H23" i="3"/>
  <c r="G25" i="5" l="1"/>
  <c r="B8" i="6"/>
  <c r="P50" i="4"/>
  <c r="Y14" i="4"/>
  <c r="Y11" i="4"/>
  <c r="L29" i="4"/>
  <c r="O38" i="4"/>
  <c r="O39" i="4" s="1"/>
  <c r="O40" i="4" s="1"/>
  <c r="Q49" i="4"/>
  <c r="L32" i="4"/>
  <c r="L31" i="4"/>
  <c r="O15" i="4"/>
  <c r="Y15" i="4"/>
  <c r="R38" i="4"/>
  <c r="R39" i="4" s="1"/>
  <c r="R40" i="4" s="1"/>
  <c r="S50" i="4" s="1"/>
  <c r="O14" i="4"/>
  <c r="Q38" i="4"/>
  <c r="Q39" i="4" s="1"/>
  <c r="Q40" i="4" s="1"/>
  <c r="R50" i="4" s="1"/>
  <c r="S56" i="4"/>
  <c r="W15" i="4"/>
  <c r="W14" i="4"/>
  <c r="G24" i="5"/>
  <c r="G18" i="5"/>
  <c r="G17" i="5"/>
  <c r="Q50" i="4"/>
  <c r="N50" i="4"/>
  <c r="O50" i="4"/>
  <c r="M50" i="4"/>
  <c r="O12" i="4"/>
  <c r="Q9" i="4"/>
  <c r="R9" i="4" s="1"/>
  <c r="R10" i="4" s="1"/>
  <c r="S9" i="4"/>
  <c r="T9" i="4" s="1"/>
  <c r="O11" i="4"/>
  <c r="Q10" i="4"/>
  <c r="S10" i="4"/>
  <c r="O13" i="4"/>
  <c r="S14" i="4"/>
  <c r="U10" i="4"/>
  <c r="M9" i="4"/>
  <c r="N9" i="4" s="1"/>
  <c r="N10" i="4" s="1"/>
  <c r="N11" i="4" s="1"/>
  <c r="N12" i="4" s="1"/>
  <c r="N13" i="4" s="1"/>
  <c r="N14" i="4" s="1"/>
  <c r="W9" i="4"/>
  <c r="X9" i="4" s="1"/>
  <c r="U12" i="4"/>
  <c r="W10" i="4"/>
  <c r="M13" i="4"/>
  <c r="Q15" i="4"/>
  <c r="W13" i="4"/>
  <c r="W12" i="4"/>
  <c r="O10" i="4"/>
  <c r="U13" i="4"/>
  <c r="W11" i="4"/>
  <c r="M14" i="4"/>
  <c r="Y10" i="4"/>
  <c r="U9" i="4"/>
  <c r="V9" i="4" s="1"/>
  <c r="U14" i="4"/>
  <c r="M15" i="4"/>
  <c r="Q14" i="4"/>
  <c r="M11" i="4"/>
  <c r="Q13" i="4"/>
  <c r="S13" i="4"/>
  <c r="Y9" i="4"/>
  <c r="Z9" i="4" s="1"/>
  <c r="U11" i="4"/>
  <c r="M12" i="4"/>
  <c r="M10" i="4"/>
  <c r="Q12" i="4"/>
  <c r="S12" i="4"/>
  <c r="Y13" i="4"/>
  <c r="O9" i="4"/>
  <c r="P9" i="4" s="1"/>
  <c r="Q11" i="4"/>
  <c r="S11" i="4"/>
  <c r="Y12" i="4"/>
  <c r="B4" i="6" l="1"/>
  <c r="B11" i="6" s="1"/>
  <c r="B12" i="6" s="1"/>
  <c r="F3" i="6" s="1"/>
  <c r="N15" i="4"/>
  <c r="G26" i="5"/>
  <c r="X10" i="4"/>
  <c r="X11" i="4" s="1"/>
  <c r="X12" i="4" s="1"/>
  <c r="X13" i="4" s="1"/>
  <c r="X14" i="4" s="1"/>
  <c r="X15" i="4" s="1"/>
  <c r="T10" i="4"/>
  <c r="T11" i="4" s="1"/>
  <c r="T12" i="4" s="1"/>
  <c r="T13" i="4" s="1"/>
  <c r="T14" i="4" s="1"/>
  <c r="T15" i="4" s="1"/>
  <c r="AA11" i="4"/>
  <c r="O51" i="4" s="1"/>
  <c r="O52" i="4" s="1"/>
  <c r="R11" i="4"/>
  <c r="R12" i="4" s="1"/>
  <c r="R13" i="4" s="1"/>
  <c r="R14" i="4" s="1"/>
  <c r="R15" i="4" s="1"/>
  <c r="P10" i="4"/>
  <c r="P11" i="4" s="1"/>
  <c r="P12" i="4" s="1"/>
  <c r="P13" i="4" s="1"/>
  <c r="P14" i="4" s="1"/>
  <c r="P15" i="4" s="1"/>
  <c r="V10" i="4"/>
  <c r="V11" i="4" s="1"/>
  <c r="V12" i="4" s="1"/>
  <c r="V13" i="4" s="1"/>
  <c r="V14" i="4" s="1"/>
  <c r="V15" i="4" s="1"/>
  <c r="AA13" i="4"/>
  <c r="Q51" i="4" s="1"/>
  <c r="Q52" i="4" s="1"/>
  <c r="AA9" i="4"/>
  <c r="M51" i="4" s="1"/>
  <c r="M52" i="4" s="1"/>
  <c r="AA12" i="4"/>
  <c r="P51" i="4" s="1"/>
  <c r="P52" i="4" s="1"/>
  <c r="AA15" i="4"/>
  <c r="S51" i="4" s="1"/>
  <c r="S52" i="4" s="1"/>
  <c r="AA10" i="4"/>
  <c r="N51" i="4" s="1"/>
  <c r="N52" i="4" s="1"/>
  <c r="AA14" i="4"/>
  <c r="R51" i="4" s="1"/>
  <c r="R52" i="4" s="1"/>
  <c r="Z10" i="4"/>
  <c r="Z11" i="4" s="1"/>
  <c r="Z12" i="4" s="1"/>
  <c r="Z13" i="4" s="1"/>
  <c r="Z14" i="4" s="1"/>
  <c r="Z15" i="4" s="1"/>
  <c r="S53" i="4" l="1"/>
  <c r="S54" i="4" s="1"/>
  <c r="S57" i="4" s="1"/>
  <c r="R53" i="4"/>
  <c r="R54" i="4" s="1"/>
  <c r="R57" i="4" s="1"/>
  <c r="N53" i="4"/>
  <c r="N54" i="4" s="1"/>
  <c r="N57" i="4" s="1"/>
  <c r="M53" i="4"/>
  <c r="M54" i="4" s="1"/>
  <c r="M57" i="4" s="1"/>
  <c r="Q53" i="4"/>
  <c r="Q54" i="4" s="1"/>
  <c r="Q57" i="4" s="1"/>
  <c r="P53" i="4"/>
  <c r="P54" i="4" s="1"/>
  <c r="P57" i="4" s="1"/>
  <c r="O53" i="4"/>
  <c r="O54" i="4" s="1"/>
  <c r="O57" i="4" s="1"/>
  <c r="L59" i="4" l="1"/>
  <c r="L58" i="4"/>
  <c r="L6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<sst xmlns="http://schemas.openxmlformats.org/spreadsheetml/2006/main" count="347" uniqueCount="181">
  <si>
    <t>Tài sản cố định</t>
  </si>
  <si>
    <t>Trị giá (đồng)</t>
  </si>
  <si>
    <t>Mặt bằng</t>
  </si>
  <si>
    <t>Thiết bị bếp</t>
  </si>
  <si>
    <t>Thiết bị phục vụ bán hàng</t>
  </si>
  <si>
    <t>Nội thất</t>
  </si>
  <si>
    <t>Kho chứa nguyên liệu</t>
  </si>
  <si>
    <t>Thiết bị an toàn</t>
  </si>
  <si>
    <t>Phương tiện vận chuyển</t>
  </si>
  <si>
    <t>Loại chi phí (đồng)</t>
  </si>
  <si>
    <t>Năm 1</t>
  </si>
  <si>
    <t>Năm 2</t>
  </si>
  <si>
    <t>Năm 3</t>
  </si>
  <si>
    <t>Năm 4</t>
  </si>
  <si>
    <t>Năm 5</t>
  </si>
  <si>
    <t>Năm 6</t>
  </si>
  <si>
    <t>Năm 7</t>
  </si>
  <si>
    <t>Chi phí nhân viên</t>
  </si>
  <si>
    <t>Chi phí đầu bếp</t>
  </si>
  <si>
    <t>Chi phí kho bãi</t>
  </si>
  <si>
    <t>Chi phí vận chuyển</t>
  </si>
  <si>
    <t>Năm</t>
  </si>
  <si>
    <t>Chicken Taco</t>
  </si>
  <si>
    <t>Beef Taco</t>
  </si>
  <si>
    <t>Pork Taco</t>
  </si>
  <si>
    <t>Veggie Taco</t>
  </si>
  <si>
    <t>Chicken tacos</t>
  </si>
  <si>
    <t>Beef tacos</t>
  </si>
  <si>
    <t>Nguyên liệu chung</t>
  </si>
  <si>
    <t xml:space="preserve">Bột mì </t>
  </si>
  <si>
    <t>Rau</t>
  </si>
  <si>
    <t>Phô mai</t>
  </si>
  <si>
    <t>Sốt</t>
  </si>
  <si>
    <t>Gia vị</t>
  </si>
  <si>
    <t>Nguyên liệu riêng</t>
  </si>
  <si>
    <t>Thịt gà</t>
  </si>
  <si>
    <t>Mật ong</t>
  </si>
  <si>
    <t>Thịt bò</t>
  </si>
  <si>
    <t>Bột nghệ</t>
  </si>
  <si>
    <t>Pork taco</t>
  </si>
  <si>
    <t>Thịt heo</t>
  </si>
  <si>
    <t>Dưa chua</t>
  </si>
  <si>
    <t>Veggie taco</t>
  </si>
  <si>
    <t>Đậu đen</t>
  </si>
  <si>
    <t>Đậu đỏ</t>
  </si>
  <si>
    <t>Nấm</t>
  </si>
  <si>
    <t>Bơ</t>
  </si>
  <si>
    <t>Vốn ngắn hạn</t>
  </si>
  <si>
    <t>Chi phí</t>
  </si>
  <si>
    <t>Trích khấu hao</t>
  </si>
  <si>
    <t>Gía trị còn lại</t>
  </si>
  <si>
    <t>giá trị còn lại</t>
  </si>
  <si>
    <t xml:space="preserve">Trích khấu hao </t>
  </si>
  <si>
    <t>Kho chứa</t>
  </si>
  <si>
    <t>Tỷ suất lợi nhuận</t>
  </si>
  <si>
    <t>Thuế TNDN</t>
  </si>
  <si>
    <t>Vốn (TSCD)</t>
  </si>
  <si>
    <t>Doanh thu</t>
  </si>
  <si>
    <t>Chi phí (chưa khấu hao)</t>
  </si>
  <si>
    <t>Khấu hao TSCĐ</t>
  </si>
  <si>
    <t>Lợi nhuận trước thuế</t>
  </si>
  <si>
    <t xml:space="preserve">Thuế  </t>
  </si>
  <si>
    <t>Lợi nhuận sau thuế</t>
  </si>
  <si>
    <t>Thu hồi vốn ngắn hạn</t>
  </si>
  <si>
    <t>Thu thanh lý</t>
  </si>
  <si>
    <t>Số đơn giao</t>
  </si>
  <si>
    <t>Ngân lưu thuần</t>
  </si>
  <si>
    <t>Chi phí nghiên cứu thị trường</t>
  </si>
  <si>
    <t>Veegie taco</t>
  </si>
  <si>
    <t>Chi phí giao</t>
  </si>
  <si>
    <t>Gía bán</t>
  </si>
  <si>
    <t>Hành tây</t>
  </si>
  <si>
    <t>Số lượng bán ra</t>
  </si>
  <si>
    <t>Số lượng giao</t>
  </si>
  <si>
    <t>Tối thiểu</t>
  </si>
  <si>
    <t>Tối đa</t>
  </si>
  <si>
    <t>Lợi nhuận</t>
  </si>
  <si>
    <t>Tổng chi phí nguyên liệu</t>
  </si>
  <si>
    <t>Tỷ lệ giao hàng qua App</t>
  </si>
  <si>
    <t>Chicken taco va Beef</t>
  </si>
  <si>
    <t xml:space="preserve">Chicken taco </t>
  </si>
  <si>
    <t>Nguyên liệu chay</t>
  </si>
  <si>
    <t>Chi phí phát triển phần mềm</t>
  </si>
  <si>
    <t>Sản lượng tiêu thụ (ĐVT : Phần)</t>
  </si>
  <si>
    <t xml:space="preserve"> Khấu hao (năm)</t>
  </si>
  <si>
    <t>Chi phí ( chưa khấu hao)</t>
  </si>
  <si>
    <t>Pork tacos</t>
  </si>
  <si>
    <t>Veggie tacos</t>
  </si>
  <si>
    <t>Giá bán/phần (đvt : đồng)</t>
  </si>
  <si>
    <t>Nguyên liệu sản xuất cho 1 phần (đvt : đồng)</t>
  </si>
  <si>
    <t>Tính khấu hao TSCĐ</t>
  </si>
  <si>
    <t>Trị giá</t>
  </si>
  <si>
    <t>Số năm sử dụng</t>
  </si>
  <si>
    <t>BẢNG TÍNH KHẤU HAO TÀI SẢN CỐ ĐỊNH (THEO PHƯƠNG PHÁP ĐƯỜNG THẲNG)</t>
  </si>
  <si>
    <t>ĐVT : đồng</t>
  </si>
  <si>
    <t>Gía trị thanh lý</t>
  </si>
  <si>
    <t>Tổng khấu hao TSCĐ</t>
  </si>
  <si>
    <t>Chi phí hoạt động</t>
  </si>
  <si>
    <t>Chi phí sản xuất 1 phần</t>
  </si>
  <si>
    <t>Chi phi giao hàng/đơn/phần</t>
  </si>
  <si>
    <t>Tổng phần</t>
  </si>
  <si>
    <t>Tỷ lệ giao hàng</t>
  </si>
  <si>
    <t xml:space="preserve"> NPV của dự án</t>
  </si>
  <si>
    <t xml:space="preserve"> IRR của dự án</t>
  </si>
  <si>
    <t>Tìm hiệu quả dự án đầu tư</t>
  </si>
  <si>
    <t>BẢNG HIỆU QUẢ DỰ ÁN ĐẦU TƯ</t>
  </si>
  <si>
    <t>Ràng buộc</t>
  </si>
  <si>
    <t>ĐVT (đồng)</t>
  </si>
  <si>
    <t>Tổng số lượng bán ra</t>
  </si>
  <si>
    <t>Chi phí giao (vận hành)/đơn/hộp</t>
  </si>
  <si>
    <t>Chi phí giao hàng</t>
  </si>
  <si>
    <t xml:space="preserve">Tổng chi phí </t>
  </si>
  <si>
    <t>Tỷ lệ giao</t>
  </si>
  <si>
    <t xml:space="preserve">BẢNG PHÂN TÍCH ĐỘ NHẠY </t>
  </si>
  <si>
    <t>Kết quả :</t>
  </si>
  <si>
    <t>Vùng nhập liệu</t>
  </si>
  <si>
    <t>Vùng xử lý</t>
  </si>
  <si>
    <t>VÙNG KẾT QUẢ</t>
  </si>
  <si>
    <t>VÙNG THÔNG SỐ BAN ĐẦU</t>
  </si>
  <si>
    <t>KẾT QUẢ ĐẦU RA</t>
  </si>
  <si>
    <t>Microsoft Excel 16.0 Answer Report</t>
  </si>
  <si>
    <t>Worksheet: [DoAnDSS.xlsx]Mô hình tìm phương án tối ưu</t>
  </si>
  <si>
    <t>Report Created: 4/17/2026 3:54:20 PM</t>
  </si>
  <si>
    <t>Result: Solver found an integer solution within tolerance.  All Constraints are satisfied.</t>
  </si>
  <si>
    <t>Solver Engine</t>
  </si>
  <si>
    <t>Engine: Simplex LP</t>
  </si>
  <si>
    <t>Solution Time: 0.047 Seconds.</t>
  </si>
  <si>
    <t>Iterations: 3 Subproblems: 6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</si>
  <si>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</si>
  <si>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</si>
  <si>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</si>
  <si>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</si>
  <si>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</si>
  <si>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</si>
  <si>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</si>
  <si>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</si>
  <si>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</si>
  <si>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</si>
  <si>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</si>
  <si>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</si>
  <si>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</si>
  <si>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</si>
  <si>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</si>
  <si>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$G$26</t>
  </si>
  <si>
    <t>Lợi nhuận Chicken Taco</t>
  </si>
  <si>
    <t>$G$9</t>
  </si>
  <si>
    <t>Số lượng bán ra Chicken Taco</t>
  </si>
  <si>
    <t>$H$9</t>
  </si>
  <si>
    <t>Số lượng bán ra Beef Taco</t>
  </si>
  <si>
    <t>$I$9</t>
  </si>
  <si>
    <t>Số lượng bán ra Pork Taco</t>
  </si>
  <si>
    <t>$J$9</t>
  </si>
  <si>
    <t>Số lượng bán ra Veegie taco</t>
  </si>
  <si>
    <t>$G$17</t>
  </si>
  <si>
    <t>Nguyên liệu chung Chicken Taco</t>
  </si>
  <si>
    <t>$G$17&lt;=$H$17</t>
  </si>
  <si>
    <t>Not Binding</t>
  </si>
  <si>
    <t>$G$18</t>
  </si>
  <si>
    <t>Nguyên liệu riêng Chicken Taco</t>
  </si>
  <si>
    <t>$G$18&lt;=$H$18</t>
  </si>
  <si>
    <t>$G$19</t>
  </si>
  <si>
    <t>Nguyên liệu chay Chicken Taco</t>
  </si>
  <si>
    <t>$G$19&lt;=$H$19</t>
  </si>
  <si>
    <t>$G$20</t>
  </si>
  <si>
    <t>Chicken taco  Chicken Taco</t>
  </si>
  <si>
    <t>$G$20&gt;=$I$20</t>
  </si>
  <si>
    <t>Binding</t>
  </si>
  <si>
    <t>$G$21</t>
  </si>
  <si>
    <t>Chicken taco va Beef Chicken Taco</t>
  </si>
  <si>
    <t>$G$21&lt;=$H$21</t>
  </si>
  <si>
    <t>$G$22</t>
  </si>
  <si>
    <t>Pork taco Chicken Taco</t>
  </si>
  <si>
    <t>$G$22&lt;=$H$22</t>
  </si>
  <si>
    <t>$G$23</t>
  </si>
  <si>
    <t>Veegie taco Chicken Taco</t>
  </si>
  <si>
    <t>$G$23&lt;=$H$23</t>
  </si>
  <si>
    <t>$G$23&gt;=$I$23</t>
  </si>
  <si>
    <t>$G$9:$J$9=Integer</t>
  </si>
  <si>
    <t>$G$9:$J$9</t>
  </si>
  <si>
    <t>Thay đổi giá bán</t>
  </si>
  <si>
    <t>Tư vấn từ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</si>
</sst>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3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15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5" xfId="0" applyBorder="1"/>
    <xf numFmtId="164" fontId="0" fillId="0" borderId="5" xfId="1" applyNumberFormat="1" applyFont="1" applyBorder="1"/>
    <xf numFmtId="9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2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1" fontId="4" fillId="6" borderId="4" xfId="0" applyNumberFormat="1" applyFont="1" applyFill="1" applyBorder="1" applyAlignment="1">
      <alignment vertical="center" wrapText="1"/>
    </xf>
    <xf numFmtId="164" fontId="2" fillId="6" borderId="4" xfId="1" applyNumberFormat="1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4" borderId="5" xfId="0" applyFont="1" applyFill="1" applyBorder="1"/>
    <xf numFmtId="0" fontId="2" fillId="6" borderId="5" xfId="0" applyFont="1" applyFill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3" borderId="0" xfId="0" applyFont="1" applyFill="1" applyAlignment="1">
      <alignment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164" fontId="0" fillId="6" borderId="5" xfId="1" applyNumberFormat="1" applyFont="1" applyFill="1" applyBorder="1"/>
    <xf numFmtId="0" fontId="2" fillId="6" borderId="4" xfId="0" applyFont="1" applyFill="1" applyBorder="1" applyAlignment="1">
      <alignment wrapText="1"/>
    </xf>
    <xf numFmtId="164" fontId="0" fillId="6" borderId="5" xfId="1" applyNumberFormat="1" applyFont="1" applyFill="1" applyBorder="1" applyAlignment="1">
      <alignment vertical="top"/>
    </xf>
    <xf numFmtId="164" fontId="2" fillId="6" borderId="4" xfId="1" applyNumberFormat="1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1" fontId="4" fillId="6" borderId="4" xfId="0" applyNumberFormat="1" applyFont="1" applyFill="1" applyBorder="1" applyAlignment="1">
      <alignment vertical="top" wrapText="1"/>
    </xf>
    <xf numFmtId="0" fontId="2" fillId="4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3" borderId="5" xfId="0" applyFont="1" applyFill="1" applyBorder="1"/>
    <xf numFmtId="164" fontId="2" fillId="0" borderId="5" xfId="0" applyNumberFormat="1" applyFont="1" applyBorder="1"/>
    <xf numFmtId="0" fontId="2" fillId="4" borderId="6" xfId="0" applyFont="1" applyFill="1" applyBorder="1" applyAlignment="1">
      <alignment wrapText="1"/>
    </xf>
    <xf numFmtId="164" fontId="2" fillId="6" borderId="13" xfId="1" applyNumberFormat="1" applyFont="1" applyFill="1" applyBorder="1" applyAlignment="1">
      <alignment vertical="top" wrapText="1"/>
    </xf>
    <xf numFmtId="0" fontId="2" fillId="6" borderId="13" xfId="0" applyFont="1" applyFill="1" applyBorder="1" applyAlignment="1">
      <alignment vertical="top" wrapText="1"/>
    </xf>
    <xf numFmtId="0" fontId="2" fillId="11" borderId="0" xfId="0" applyFont="1" applyFill="1" applyAlignment="1">
      <alignment vertical="top" wrapText="1"/>
    </xf>
    <xf numFmtId="164" fontId="2" fillId="11" borderId="0" xfId="1" applyNumberFormat="1" applyFont="1" applyFill="1" applyBorder="1" applyAlignment="1">
      <alignment vertical="top" wrapText="1"/>
    </xf>
    <xf numFmtId="164" fontId="0" fillId="11" borderId="0" xfId="1" applyNumberFormat="1" applyFont="1" applyFill="1" applyBorder="1" applyAlignment="1">
      <alignment vertical="top"/>
    </xf>
    <xf numFmtId="0" fontId="5" fillId="3" borderId="5" xfId="0" applyFont="1" applyFill="1" applyBorder="1" applyAlignment="1">
      <alignment horizontal="center"/>
    </xf>
    <xf numFmtId="0" fontId="7" fillId="2" borderId="5" xfId="0" applyFont="1" applyFill="1" applyBorder="1"/>
    <xf numFmtId="164" fontId="6" fillId="0" borderId="5" xfId="0" applyNumberFormat="1" applyFont="1" applyBorder="1"/>
    <xf numFmtId="164" fontId="2" fillId="6" borderId="5" xfId="1" applyNumberFormat="1" applyFont="1" applyFill="1" applyBorder="1" applyAlignment="1">
      <alignment vertical="top" wrapText="1"/>
    </xf>
    <xf numFmtId="0" fontId="0" fillId="7" borderId="5" xfId="0" applyFill="1" applyBorder="1"/>
    <xf numFmtId="0" fontId="0" fillId="3" borderId="5" xfId="0" applyFill="1" applyBorder="1"/>
    <xf numFmtId="0" fontId="4" fillId="7" borderId="5" xfId="0" applyFont="1" applyFill="1" applyBorder="1"/>
    <xf numFmtId="0" fontId="4" fillId="3" borderId="5" xfId="0" applyFont="1" applyFill="1" applyBorder="1"/>
    <xf numFmtId="0" fontId="2" fillId="4" borderId="5" xfId="0" applyFont="1" applyFill="1" applyBorder="1" applyAlignment="1">
      <alignment wrapText="1"/>
    </xf>
    <xf numFmtId="0" fontId="0" fillId="4" borderId="5" xfId="0" applyFill="1" applyBorder="1"/>
    <xf numFmtId="164" fontId="2" fillId="3" borderId="5" xfId="1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3" borderId="5" xfId="0" applyFill="1" applyBorder="1" applyAlignment="1">
      <alignment vertical="top"/>
    </xf>
    <xf numFmtId="164" fontId="0" fillId="3" borderId="5" xfId="1" applyNumberFormat="1" applyFont="1" applyFill="1" applyBorder="1" applyAlignment="1">
      <alignment vertical="top"/>
    </xf>
    <xf numFmtId="0" fontId="0" fillId="11" borderId="0" xfId="0" applyFill="1" applyAlignment="1">
      <alignment vertical="top"/>
    </xf>
    <xf numFmtId="164" fontId="2" fillId="11" borderId="0" xfId="1" applyNumberFormat="1" applyFont="1" applyFill="1" applyBorder="1" applyAlignment="1">
      <alignment horizontal="center" vertical="top" wrapText="1"/>
    </xf>
    <xf numFmtId="9" fontId="0" fillId="3" borderId="0" xfId="0" applyNumberFormat="1" applyFill="1"/>
    <xf numFmtId="0" fontId="8" fillId="7" borderId="0" xfId="0" applyFont="1" applyFill="1"/>
    <xf numFmtId="0" fontId="8" fillId="7" borderId="5" xfId="0" applyFont="1" applyFill="1" applyBorder="1" applyAlignment="1">
      <alignment horizontal="center" vertical="center"/>
    </xf>
    <xf numFmtId="164" fontId="8" fillId="7" borderId="5" xfId="1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1" fontId="10" fillId="3" borderId="5" xfId="0" applyNumberFormat="1" applyFont="1" applyFill="1" applyBorder="1"/>
    <xf numFmtId="0" fontId="10" fillId="3" borderId="5" xfId="0" applyFont="1" applyFill="1" applyBorder="1"/>
    <xf numFmtId="43" fontId="6" fillId="12" borderId="5" xfId="0" applyNumberFormat="1" applyFont="1" applyFill="1" applyBorder="1"/>
    <xf numFmtId="9" fontId="6" fillId="12" borderId="5" xfId="0" applyNumberFormat="1" applyFont="1" applyFill="1" applyBorder="1"/>
    <xf numFmtId="0" fontId="2" fillId="6" borderId="5" xfId="0" applyFont="1" applyFill="1" applyBorder="1" applyAlignment="1">
      <alignment wrapText="1"/>
    </xf>
    <xf numFmtId="0" fontId="2" fillId="6" borderId="8" xfId="0" applyFont="1" applyFill="1" applyBorder="1"/>
    <xf numFmtId="164" fontId="2" fillId="6" borderId="5" xfId="1" applyNumberFormat="1" applyFont="1" applyFill="1" applyBorder="1"/>
    <xf numFmtId="0" fontId="0" fillId="4" borderId="0" xfId="0" applyFill="1"/>
    <xf numFmtId="9" fontId="0" fillId="4" borderId="0" xfId="0" applyNumberFormat="1" applyFill="1"/>
    <xf numFmtId="0" fontId="0" fillId="6" borderId="5" xfId="0" applyFill="1" applyBorder="1"/>
    <xf numFmtId="164" fontId="0" fillId="6" borderId="5" xfId="0" applyNumberFormat="1" applyFill="1" applyBorder="1"/>
    <xf numFmtId="1" fontId="0" fillId="6" borderId="5" xfId="0" applyNumberFormat="1" applyFill="1" applyBorder="1"/>
    <xf numFmtId="0" fontId="0" fillId="13" borderId="5" xfId="0" applyFill="1" applyBorder="1"/>
    <xf numFmtId="0" fontId="0" fillId="5" borderId="5" xfId="0" applyFill="1" applyBorder="1"/>
    <xf numFmtId="0" fontId="6" fillId="4" borderId="5" xfId="0" applyFont="1" applyFill="1" applyBorder="1"/>
    <xf numFmtId="0" fontId="5" fillId="5" borderId="5" xfId="0" applyFont="1" applyFill="1" applyBorder="1" applyAlignment="1">
      <alignment horizontal="center" vertical="center"/>
    </xf>
    <xf numFmtId="9" fontId="0" fillId="6" borderId="5" xfId="0" applyNumberFormat="1" applyFill="1" applyBorder="1"/>
    <xf numFmtId="1" fontId="2" fillId="6" borderId="5" xfId="0" applyNumberFormat="1" applyFont="1" applyFill="1" applyBorder="1"/>
    <xf numFmtId="164" fontId="2" fillId="6" borderId="5" xfId="0" applyNumberFormat="1" applyFont="1" applyFill="1" applyBorder="1"/>
    <xf numFmtId="164" fontId="0" fillId="0" borderId="5" xfId="0" applyNumberFormat="1" applyBorder="1"/>
    <xf numFmtId="0" fontId="0" fillId="10" borderId="5" xfId="0" applyFill="1" applyBorder="1"/>
    <xf numFmtId="0" fontId="6" fillId="7" borderId="5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8" borderId="5" xfId="0" applyFont="1" applyFill="1" applyBorder="1"/>
    <xf numFmtId="164" fontId="2" fillId="8" borderId="5" xfId="1" applyNumberFormat="1" applyFont="1" applyFill="1" applyBorder="1"/>
    <xf numFmtId="9" fontId="2" fillId="12" borderId="5" xfId="0" applyNumberFormat="1" applyFont="1" applyFill="1" applyBorder="1"/>
    <xf numFmtId="0" fontId="2" fillId="12" borderId="5" xfId="0" applyFont="1" applyFill="1" applyBorder="1"/>
    <xf numFmtId="0" fontId="5" fillId="0" borderId="0" xfId="0" applyFont="1"/>
    <xf numFmtId="0" fontId="0" fillId="0" borderId="16" xfId="0" applyBorder="1"/>
    <xf numFmtId="0" fontId="15" fillId="0" borderId="15" xfId="0" applyFont="1" applyBorder="1" applyAlignment="1">
      <alignment horizontal="center"/>
    </xf>
    <xf numFmtId="0" fontId="0" fillId="0" borderId="17" xfId="0" applyBorder="1"/>
    <xf numFmtId="164" fontId="0" fillId="0" borderId="16" xfId="0" applyNumberFormat="1" applyBorder="1"/>
    <xf numFmtId="164" fontId="0" fillId="0" borderId="17" xfId="0" applyNumberForma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3" borderId="0" xfId="0" applyFill="1"/>
    <xf numFmtId="164" fontId="4" fillId="6" borderId="5" xfId="0" applyNumberFormat="1" applyFont="1" applyFill="1" applyBorder="1"/>
    <xf numFmtId="9" fontId="5" fillId="0" borderId="0" xfId="0" applyNumberFormat="1" applyFont="1"/>
    <xf numFmtId="0" fontId="17" fillId="11" borderId="0" xfId="0" applyFont="1" applyFill="1"/>
    <xf numFmtId="0" fontId="4" fillId="10" borderId="0" xfId="0" applyFont="1" applyFill="1"/>
    <xf numFmtId="0" fontId="0" fillId="10" borderId="0" xfId="0" applyFill="1"/>
    <xf numFmtId="0" fontId="13" fillId="0" borderId="0" xfId="0" applyFont="1" applyAlignment="1">
      <alignment horizontal="left" indent="2"/>
    </xf>
    <xf numFmtId="0" fontId="2" fillId="6" borderId="0" xfId="0" applyFont="1" applyFill="1" applyAlignment="1">
      <alignment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6" borderId="7" xfId="0" applyFont="1" applyFill="1" applyBorder="1" applyAlignment="1">
      <alignment horizontal="center" vertical="top" wrapText="1"/>
    </xf>
    <xf numFmtId="0" fontId="4" fillId="6" borderId="7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vertical="top"/>
    </xf>
    <xf numFmtId="0" fontId="2" fillId="6" borderId="0" xfId="0" applyFont="1" applyFill="1" applyAlignment="1">
      <alignment vertical="top"/>
    </xf>
    <xf numFmtId="0" fontId="2" fillId="6" borderId="0" xfId="0" applyFont="1" applyFill="1" applyAlignment="1">
      <alignment horizontal="center"/>
    </xf>
    <xf numFmtId="164" fontId="5" fillId="3" borderId="9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/>
    </xf>
    <xf numFmtId="0" fontId="0" fillId="3" borderId="8" xfId="0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11" fillId="4" borderId="14" xfId="0" applyFont="1" applyFill="1" applyBorder="1" applyAlignment="1">
      <alignment horizontal="center" vertical="center" textRotation="135"/>
    </xf>
    <xf numFmtId="0" fontId="5" fillId="3" borderId="0" xfId="0" applyFont="1" applyFill="1" applyAlignment="1">
      <alignment horizontal="center"/>
    </xf>
  </cellXfs>
  <cellStyles count="2">
    <cellStyle name="Bình thường" xfId="0" builtinId="0"/>
    <cellStyle name="Dấu phẩy" xfId="1" builtinId="3"/>
  </cellStyles>
  <dxfs count="3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Phân bổ doanh thu theo loại Tacos 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'Mô hình tìm phương án tối ưu'!$G$8:$J$8</c:f>
              <c:strCache>
                <c:ptCount val="4"/>
                <c:pt idx="0">
                  <c:v>Chicken Taco</c:v>
                </c:pt>
                <c:pt idx="1">
                  <c:v>Beef Taco</c:v>
                </c:pt>
                <c:pt idx="2">
                  <c:v>Pork Taco</c:v>
                </c:pt>
                <c:pt idx="3">
                  <c:v>Veegie taco</c:v>
                </c:pt>
              </c:strCache>
            </c:strRef>
          </c:cat>
          <c:val>
            <c:numRef>
              <c:f>'Mô hình tìm phương án tối ưu'!$G$14:$J$14</c:f>
              <c:numCache>
                <c:formatCode>_(* #,##0_);_(* \(#,##0\);_(* "-"??_);_(@_)</c:formatCode>
                <c:ptCount val="4"/>
                <c:pt idx="0">
                  <c:v>165000000</c:v>
                </c:pt>
                <c:pt idx="1">
                  <c:v>305400000</c:v>
                </c:pt>
                <c:pt idx="2">
                  <c:v>300000000</c:v>
                </c:pt>
                <c:pt idx="3">
                  <c:v>321165000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D-4F94-BC58-DABEB1D2C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388384"/>
        <c:axId val="1958524912"/>
      </c:barChart>
      <c:catAx>
        <c:axId val="41538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24912"/>
        <c:crosses val="autoZero"/>
        <c:auto val="1"/>
        <c:lblAlgn val="ctr"/>
        <c:lblOffset val="100"/>
        <c:noMultiLvlLbl val="0"/>
      </c:catAx>
      <c:valAx>
        <c:axId val="19585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cơ</a:t>
            </a:r>
            <a:r>
              <a:rPr lang="en-US" baseline="0"/>
              <a:t> cấu sản phẩm tối ưu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15-437E-86E1-A724534479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15-437E-86E1-A724534479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15-437E-86E1-A724534479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215-437E-86E1-A724534479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'Mô hình tìm phương án tối ưu'!$G$8:$J$8</c:f>
              <c:strCache>
                <c:ptCount val="4"/>
                <c:pt idx="0">
                  <c:v>Chicken Taco</c:v>
                </c:pt>
                <c:pt idx="1">
                  <c:v>Beef Taco</c:v>
                </c:pt>
                <c:pt idx="2">
                  <c:v>Pork Taco</c:v>
                </c:pt>
                <c:pt idx="3">
                  <c:v>Veegie taco</c:v>
                </c:pt>
              </c:strCache>
            </c:strRef>
          </c:cat>
          <c:val>
            <c:numRef>
              <c:f>'Mô hình tìm phương án tối ưu'!$G$9:$J$9</c:f>
              <c:numCache>
                <c:formatCode>General</c:formatCode>
                <c:ptCount val="4"/>
                <c:pt idx="0">
                  <c:v>3000</c:v>
                </c:pt>
                <c:pt idx="1">
                  <c:v>5090</c:v>
                </c:pt>
                <c:pt idx="2">
                  <c:v>5000</c:v>
                </c:pt>
                <c:pt idx="3">
                  <c:v>7137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A-4BB4-8CDB-707501AA382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N$44" horiz="1" max="100" page="10" val="15"/>
</file>

<file path=xl/ctrlProps/ctrlProp2.xml><?xml version="1.0" encoding="utf-8"?>
<formControlPr xmlns="http://schemas.microsoft.com/office/spreadsheetml/2009/9/main" objectType="Scroll" dx="26" fmlaLink="$N$45" horiz="1" max="100" page="10" val="20"/>
</file>

<file path=xl/ctrlProps/ctrlProp3.xml><?xml version="1.0" encoding="utf-8"?>
<formControlPr xmlns="http://schemas.microsoft.com/office/spreadsheetml/2009/9/main" objectType="Scroll" dx="26" fmlaLink="$B$19" horiz="1" inc="500" max="30000" page="10" val="9000"/>
</file>

<file path=xl/ctrlProps/ctrlProp4.xml><?xml version="1.0" encoding="utf-8"?>
<formControlPr xmlns="http://schemas.microsoft.com/office/spreadsheetml/2009/9/main" objectType="Scroll" dx="26" fmlaLink="$B$20" horiz="1" inc="500" max="10000" page="10" val="3500"/>
</file>

<file path=xl/ctrlProps/ctrlProp5.xml><?xml version="1.0" encoding="utf-8"?>
<formControlPr xmlns="http://schemas.microsoft.com/office/spreadsheetml/2009/9/main" objectType="Scroll" dx="26" fmlaLink="$B$22" horiz="1" inc="500" max="10000" page="10" val="7000"/>
</file>

<file path=xl/ctrlProps/ctrlProp6.xml><?xml version="1.0" encoding="utf-8"?>
<formControlPr xmlns="http://schemas.microsoft.com/office/spreadsheetml/2009/9/main" objectType="Scroll" dx="26" fmlaLink="$B$23" horiz="1" inc="500" max="10000" page="10" val="3000"/>
</file>

<file path=xl/ctrlProps/ctrlProp7.xml><?xml version="1.0" encoding="utf-8"?>
<formControlPr xmlns="http://schemas.microsoft.com/office/spreadsheetml/2009/9/main" objectType="Scroll" dx="26" fmlaLink="$B$25" horiz="1" inc="500" max="10000" page="10" val="8000"/>
</file>

<file path=xl/ctrlProps/ctrlProp8.xml><?xml version="1.0" encoding="utf-8"?>
<formControlPr xmlns="http://schemas.microsoft.com/office/spreadsheetml/2009/9/main" objectType="Scroll" dx="26" fmlaLink="$B$26" horiz="1" inc="500" max="10000" page="10" val="2000"/>
</file>

<file path=xl/ctrlProps/ctrlProp9.xml><?xml version="1.0" encoding="utf-8"?>
<formControlPr xmlns="http://schemas.microsoft.com/office/spreadsheetml/2009/9/main" objectType="Scroll" dx="26" horiz="1" max="100" page="10" val="0"/>
</file>

<file path=xl/ctrlProps/ctrlProp10.xml><?xml version="1.0" encoding="utf-8"?>
<formControlPr xmlns="http://schemas.microsoft.com/office/spreadsheetml/2009/9/main" objectType="Scroll" dx="26" horiz="1" max="100" page="10" val="0"/>
</file>

<file path=xl/ctrlProps/ctrlProp11.xml><?xml version="1.0" encoding="utf-8"?>
<formControlPr xmlns="http://schemas.microsoft.com/office/spreadsheetml/2009/9/main" objectType="Scroll" dx="26" horiz="1" max="100" page="10" val="0"/>
</file>

<file path=xl/ctrlProps/ctrlProp12.xml><?xml version="1.0" encoding="utf-8"?>
<formControlPr xmlns="http://schemas.microsoft.com/office/spreadsheetml/2009/9/main" objectType="Scroll" dx="26" horiz="1" max="100" page="10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M&#244; h&#236;nh t&#236;m ph&#432;&#417;ng &#225;n t&#7889;i &#432;u'!A1"/><Relationship Id="rId2" Type="http://schemas.openxmlformats.org/officeDocument/2006/relationships/hyperlink" Target="#Sheet_Data!A1"/><Relationship Id="rId1" Type="http://schemas.openxmlformats.org/officeDocument/2006/relationships/hyperlink" Target="#'M&#244; h&#236;nh t&#236;m hi&#7879;u qu&#7843; &#273;&#7847;u t&#432;'!A1"/><Relationship Id="rId4" Type="http://schemas.openxmlformats.org/officeDocument/2006/relationships/hyperlink" Target="#'M&#244; h&#236;nh ph&#226;n t&#237;ch &#273;&#7897; nh&#7841;y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hyperlink" Target="#'M&#244; h&#236;nh t&#236;m hi&#7879;u qu&#7843; &#273;&#7847;u t&#432;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Sheet_Data!A1"/><Relationship Id="rId1" Type="http://schemas.openxmlformats.org/officeDocument/2006/relationships/hyperlink" Target="#'M&#244; h&#236;nh t&#236;m ph&#432;&#417;ng &#225;n t&#7889;i &#432;u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'M&#244; h&#236;nh t&#236;m hi&#7879;u qu&#7843; &#273;&#7847;u t&#432;'!A1"/><Relationship Id="rId1" Type="http://schemas.openxmlformats.org/officeDocument/2006/relationships/hyperlink" Target="#'M&#244; h&#236;nh ph&#226;n t&#237;ch &#273;&#7897; nh&#7841;y'!A1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hyperlink" Target="#'M&#244; h&#236;nh t&#236;m hi&#7879;u qu&#7843; &#273;&#7847;u t&#432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548640</xdr:colOff>
      <xdr:row>4</xdr:row>
      <xdr:rowOff>160020</xdr:rowOff>
    </xdr:from>
    <xdr:to>
      <xdr:col>8</xdr:col>
      <xdr:colOff>236220</xdr:colOff>
      <xdr:row>14</xdr:row>
      <xdr:rowOff>30480</xdr:rowOff>
    </xdr:to>
    <xdr:grpSp>
      <xdr:nvGrpSpPr>
        <xdr:cNvPr id="10" name="Nhóm 9">
          <a:extLst>
            <a:ext uri="{FF2B5EF4-FFF2-40B4-BE49-F238E27FC236}">
              <a16:creationId xmlns:a16="http://schemas.microsoft.com/office/drawing/2014/main" id="{9584D5C9-AD16-C97F-99DD-5A74D30E4569}"/>
            </a:ext>
          </a:extLst>
        </xdr:cNvPr>
        <xdr:cNvGrpSpPr/>
      </xdr:nvGrpSpPr>
      <xdr:grpSpPr>
        <a:xfrm>
          <a:off x="1158240" y="891540"/>
          <a:ext cx="3954780" cy="1699260"/>
          <a:chOff x="1356360" y="624840"/>
          <a:chExt cx="3954780" cy="1699260"/>
        </a:xfrm>
      </xdr:grpSpPr>
      <xdr:sp macro="" textlink="">
        <xdr:nvSpPr>
          <xdr:cNvPr id="3" name="Hình chữ nhật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6DCFEEC-2E45-EF1E-B2DD-E60FC742B1C4}"/>
              </a:ext>
            </a:extLst>
          </xdr:cNvPr>
          <xdr:cNvSpPr/>
        </xdr:nvSpPr>
        <xdr:spPr>
          <a:xfrm>
            <a:off x="3535680" y="624840"/>
            <a:ext cx="1775460" cy="617220"/>
          </a:xfrm>
          <a:prstGeom prst="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>
                <a:solidFill>
                  <a:schemeClr val="tx2"/>
                </a:solidFill>
              </a:rPr>
              <a:t>Tìm</a:t>
            </a:r>
            <a:r>
              <a:rPr lang="en-US" sz="1600" b="1" baseline="0">
                <a:solidFill>
                  <a:schemeClr val="tx2"/>
                </a:solidFill>
              </a:rPr>
              <a:t> hiệu quả đầu tư</a:t>
            </a:r>
            <a:endParaRPr lang="en-US" sz="1600" b="1">
              <a:solidFill>
                <a:schemeClr val="tx2"/>
              </a:solidFill>
            </a:endParaRPr>
          </a:p>
        </xdr:txBody>
      </xdr:sp>
      <xdr:sp macro="" textlink="">
        <xdr:nvSpPr>
          <xdr:cNvPr id="7" name="Hình chữ nhật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542798D-6408-4E70-B114-C84DD5623227}"/>
              </a:ext>
            </a:extLst>
          </xdr:cNvPr>
          <xdr:cNvSpPr/>
        </xdr:nvSpPr>
        <xdr:spPr>
          <a:xfrm>
            <a:off x="1356360" y="624840"/>
            <a:ext cx="1775460" cy="617220"/>
          </a:xfrm>
          <a:prstGeom prst="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>
                <a:solidFill>
                  <a:schemeClr val="tx2"/>
                </a:solidFill>
              </a:rPr>
              <a:t>Sheet</a:t>
            </a:r>
            <a:r>
              <a:rPr lang="en-US" sz="1600" b="1" baseline="0">
                <a:solidFill>
                  <a:schemeClr val="tx2"/>
                </a:solidFill>
              </a:rPr>
              <a:t> Data</a:t>
            </a:r>
            <a:endParaRPr lang="en-US" sz="1600" b="1">
              <a:solidFill>
                <a:schemeClr val="tx2"/>
              </a:solidFill>
            </a:endParaRPr>
          </a:p>
        </xdr:txBody>
      </xdr:sp>
      <xdr:sp macro="" textlink="">
        <xdr:nvSpPr>
          <xdr:cNvPr id="8" name="Hình chữ nhật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9405D27-CFE6-4B39-B028-D420DBBBE391}"/>
              </a:ext>
            </a:extLst>
          </xdr:cNvPr>
          <xdr:cNvSpPr/>
        </xdr:nvSpPr>
        <xdr:spPr>
          <a:xfrm>
            <a:off x="1356360" y="1706880"/>
            <a:ext cx="1775460" cy="617220"/>
          </a:xfrm>
          <a:prstGeom prst="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>
                <a:solidFill>
                  <a:schemeClr val="tx2"/>
                </a:solidFill>
              </a:rPr>
              <a:t>Tìm</a:t>
            </a:r>
            <a:r>
              <a:rPr lang="en-US" sz="1600" b="1" baseline="0">
                <a:solidFill>
                  <a:schemeClr val="tx2"/>
                </a:solidFill>
              </a:rPr>
              <a:t> phương án tối ưu</a:t>
            </a:r>
            <a:endParaRPr lang="en-US" sz="1600" b="1">
              <a:solidFill>
                <a:schemeClr val="tx2"/>
              </a:solidFill>
            </a:endParaRPr>
          </a:p>
        </xdr:txBody>
      </xdr:sp>
      <xdr:sp macro="" textlink="">
        <xdr:nvSpPr>
          <xdr:cNvPr id="9" name="Hình chữ nhật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9F7955F-E34E-4925-8BC2-DA6CC3172C7C}"/>
              </a:ext>
            </a:extLst>
          </xdr:cNvPr>
          <xdr:cNvSpPr/>
        </xdr:nvSpPr>
        <xdr:spPr>
          <a:xfrm>
            <a:off x="3535680" y="1706880"/>
            <a:ext cx="1775460" cy="617220"/>
          </a:xfrm>
          <a:prstGeom prst="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>
                <a:solidFill>
                  <a:schemeClr val="tx2"/>
                </a:solidFill>
              </a:rPr>
              <a:t>Phân</a:t>
            </a:r>
            <a:r>
              <a:rPr lang="en-US" sz="1600" b="1" baseline="0">
                <a:solidFill>
                  <a:schemeClr val="tx2"/>
                </a:solidFill>
              </a:rPr>
              <a:t> tích độ nhạy</a:t>
            </a:r>
            <a:endParaRPr lang="en-US" sz="16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3</xdr:col>
      <xdr:colOff>449580</xdr:colOff>
      <xdr:row>0</xdr:row>
      <xdr:rowOff>129540</xdr:rowOff>
    </xdr:from>
    <xdr:to>
      <xdr:col>6</xdr:col>
      <xdr:colOff>396240</xdr:colOff>
      <xdr:row>2</xdr:row>
      <xdr:rowOff>167640</xdr:rowOff>
    </xdr:to>
    <xdr:sp macro="" textlink="">
      <xdr:nvSpPr>
        <xdr:cNvPr id="11" name="Hình chữ nhật 10">
          <a:extLst>
            <a:ext uri="{FF2B5EF4-FFF2-40B4-BE49-F238E27FC236}">
              <a16:creationId xmlns:a16="http://schemas.microsoft.com/office/drawing/2014/main" id="{7BF709A3-9535-4330-A166-D7D556BA2CC4}"/>
            </a:ext>
          </a:extLst>
        </xdr:cNvPr>
        <xdr:cNvSpPr/>
      </xdr:nvSpPr>
      <xdr:spPr>
        <a:xfrm>
          <a:off x="2278380" y="129540"/>
          <a:ext cx="1775460" cy="40386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2"/>
              </a:solidFill>
            </a:rPr>
            <a:t>DSS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137160</xdr:colOff>
      <xdr:row>0</xdr:row>
      <xdr:rowOff>228600</xdr:rowOff>
    </xdr:from>
    <xdr:to>
      <xdr:col>14</xdr:col>
      <xdr:colOff>30480</xdr:colOff>
      <xdr:row>4</xdr:row>
      <xdr:rowOff>60960</xdr:rowOff>
    </xdr:to>
    <xdr:grpSp>
      <xdr:nvGrpSpPr>
        <xdr:cNvPr id="5" name="Nhóm 4">
          <a:extLst>
            <a:ext uri="{FF2B5EF4-FFF2-40B4-BE49-F238E27FC236}">
              <a16:creationId xmlns:a16="http://schemas.microsoft.com/office/drawing/2014/main" id="{B131CC58-EA32-5CED-A2DB-7CA213B770E2}"/>
            </a:ext>
          </a:extLst>
        </xdr:cNvPr>
        <xdr:cNvGrpSpPr/>
      </xdr:nvGrpSpPr>
      <xdr:grpSpPr>
        <a:xfrm>
          <a:off x="9845040" y="228600"/>
          <a:ext cx="2331720" cy="853440"/>
          <a:chOff x="9845040" y="228600"/>
          <a:chExt cx="2331720" cy="853440"/>
        </a:xfrm>
      </xdr:grpSpPr>
      <xdr:sp macro="" textlink="">
        <xdr:nvSpPr>
          <xdr:cNvPr id="2" name="Mũi tên: Phải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ACF858D-D40D-C418-8EBD-3FA1C48D0245}"/>
              </a:ext>
            </a:extLst>
          </xdr:cNvPr>
          <xdr:cNvSpPr/>
        </xdr:nvSpPr>
        <xdr:spPr>
          <a:xfrm>
            <a:off x="11079480" y="228600"/>
            <a:ext cx="1097280" cy="548640"/>
          </a:xfrm>
          <a:prstGeom prst="righ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Tiếp</a:t>
            </a:r>
            <a:r>
              <a:rPr lang="en-US" sz="1200" b="1" baseline="0">
                <a:solidFill>
                  <a:schemeClr val="tx2"/>
                </a:solidFill>
              </a:rPr>
              <a:t> tục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3" name="Mũi tên: Trái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299D76F-C1DE-31C1-ED51-1EB2D0DF122F}"/>
              </a:ext>
            </a:extLst>
          </xdr:cNvPr>
          <xdr:cNvSpPr/>
        </xdr:nvSpPr>
        <xdr:spPr>
          <a:xfrm>
            <a:off x="9845040" y="228600"/>
            <a:ext cx="1097280" cy="548640"/>
          </a:xfrm>
          <a:prstGeom prst="lef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Trở</a:t>
            </a:r>
            <a:r>
              <a:rPr lang="en-US" sz="1200" b="1" baseline="0">
                <a:solidFill>
                  <a:schemeClr val="tx2"/>
                </a:solidFill>
              </a:rPr>
              <a:t> lại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4" name="Hình chữ nhật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06163F1-8D82-0467-7244-C80561827AA4}"/>
              </a:ext>
            </a:extLst>
          </xdr:cNvPr>
          <xdr:cNvSpPr/>
        </xdr:nvSpPr>
        <xdr:spPr>
          <a:xfrm>
            <a:off x="10469880" y="762000"/>
            <a:ext cx="1219200" cy="320040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MENU</a:t>
            </a:r>
            <a:endParaRPr lang="en-US" sz="1100" b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1158240</xdr:colOff>
          <xdr:row>43</xdr:row>
          <xdr:rowOff>15240</xdr:rowOff>
        </xdr:from>
        <xdr:to>
          <xdr:col>14</xdr:col>
          <xdr:colOff>60960</xdr:colOff>
          <xdr:row>43</xdr:row>
          <xdr:rowOff>236220</xdr:rowOff>
        </xdr:to>
        <xdr:sp macro="" textlink="">
          <xdr:nvSpPr>
            <xdr:cNvPr id="2055" name="Scroll Bar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</xdr:colOff>
          <xdr:row>44</xdr:row>
          <xdr:rowOff>15240</xdr:rowOff>
        </xdr:from>
        <xdr:to>
          <xdr:col>14</xdr:col>
          <xdr:colOff>76200</xdr:colOff>
          <xdr:row>44</xdr:row>
          <xdr:rowOff>236220</xdr:rowOff>
        </xdr:to>
        <xdr:sp macro="" textlink="">
          <xdr:nvSpPr>
            <xdr:cNvPr id="2056" name="Scroll Bar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76200</xdr:colOff>
      <xdr:row>1</xdr:row>
      <xdr:rowOff>106680</xdr:rowOff>
    </xdr:from>
    <xdr:to>
      <xdr:col>7</xdr:col>
      <xdr:colOff>617220</xdr:colOff>
      <xdr:row>4</xdr:row>
      <xdr:rowOff>144780</xdr:rowOff>
    </xdr:to>
    <xdr:grpSp>
      <xdr:nvGrpSpPr>
        <xdr:cNvPr id="10" name="Nhóm 9">
          <a:extLst>
            <a:ext uri="{FF2B5EF4-FFF2-40B4-BE49-F238E27FC236}">
              <a16:creationId xmlns:a16="http://schemas.microsoft.com/office/drawing/2014/main" id="{7042C35A-2BCC-4AB8-88CA-1ACAF9CFA570}"/>
            </a:ext>
          </a:extLst>
        </xdr:cNvPr>
        <xdr:cNvGrpSpPr/>
      </xdr:nvGrpSpPr>
      <xdr:grpSpPr>
        <a:xfrm>
          <a:off x="6004560" y="381000"/>
          <a:ext cx="2331720" cy="853440"/>
          <a:chOff x="9845040" y="228600"/>
          <a:chExt cx="2331720" cy="853440"/>
        </a:xfrm>
      </xdr:grpSpPr>
      <xdr:sp macro="" textlink="">
        <xdr:nvSpPr>
          <xdr:cNvPr id="11" name="Mũi tên: Phải 10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63FFAC9-FE92-86E3-3F21-665D16676966}"/>
              </a:ext>
            </a:extLst>
          </xdr:cNvPr>
          <xdr:cNvSpPr/>
        </xdr:nvSpPr>
        <xdr:spPr>
          <a:xfrm>
            <a:off x="11079480" y="228600"/>
            <a:ext cx="1097280" cy="548640"/>
          </a:xfrm>
          <a:prstGeom prst="righ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Tiếp</a:t>
            </a:r>
            <a:r>
              <a:rPr lang="en-US" sz="1200" b="1" baseline="0">
                <a:solidFill>
                  <a:schemeClr val="tx2"/>
                </a:solidFill>
              </a:rPr>
              <a:t> tục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12" name="Mũi tên: Trái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C0F7DA2-76BC-1788-6779-443C94EF7AE8}"/>
              </a:ext>
            </a:extLst>
          </xdr:cNvPr>
          <xdr:cNvSpPr/>
        </xdr:nvSpPr>
        <xdr:spPr>
          <a:xfrm>
            <a:off x="9845040" y="228600"/>
            <a:ext cx="1097280" cy="548640"/>
          </a:xfrm>
          <a:prstGeom prst="lef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Trở</a:t>
            </a:r>
            <a:r>
              <a:rPr lang="en-US" sz="1200" b="1" baseline="0">
                <a:solidFill>
                  <a:schemeClr val="tx2"/>
                </a:solidFill>
              </a:rPr>
              <a:t> lại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13" name="Hình chữ nhật 1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D16F2B0-E1C0-3220-CEDA-E7608E2952BD}"/>
              </a:ext>
            </a:extLst>
          </xdr:cNvPr>
          <xdr:cNvSpPr/>
        </xdr:nvSpPr>
        <xdr:spPr>
          <a:xfrm>
            <a:off x="10469880" y="762000"/>
            <a:ext cx="1219200" cy="320040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MENU</a:t>
            </a:r>
            <a:endParaRPr lang="en-US" sz="1100" b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33</xdr:row>
      <xdr:rowOff>22860</xdr:rowOff>
    </xdr:from>
    <xdr:to>
      <xdr:col>1</xdr:col>
      <xdr:colOff>1318260</xdr:colOff>
      <xdr:row>37</xdr:row>
      <xdr:rowOff>144780</xdr:rowOff>
    </xdr:to>
    <xdr:grpSp>
      <xdr:nvGrpSpPr>
        <xdr:cNvPr id="2" name="Nhóm 1">
          <a:extLst>
            <a:ext uri="{FF2B5EF4-FFF2-40B4-BE49-F238E27FC236}">
              <a16:creationId xmlns:a16="http://schemas.microsoft.com/office/drawing/2014/main" id="{0B70DB07-640A-4F6F-8152-07B9FFB7FCDC}"/>
            </a:ext>
          </a:extLst>
        </xdr:cNvPr>
        <xdr:cNvGrpSpPr/>
      </xdr:nvGrpSpPr>
      <xdr:grpSpPr>
        <a:xfrm>
          <a:off x="304800" y="7409778"/>
          <a:ext cx="2331272" cy="839096"/>
          <a:chOff x="9845040" y="228600"/>
          <a:chExt cx="2331720" cy="853440"/>
        </a:xfrm>
      </xdr:grpSpPr>
      <xdr:sp macro="" textlink="">
        <xdr:nvSpPr>
          <xdr:cNvPr id="3" name="Mũi tên: Phải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FE0F6B4-C116-4D27-C34D-904611BBA69E}"/>
              </a:ext>
            </a:extLst>
          </xdr:cNvPr>
          <xdr:cNvSpPr/>
        </xdr:nvSpPr>
        <xdr:spPr>
          <a:xfrm>
            <a:off x="11079480" y="228600"/>
            <a:ext cx="1097280" cy="548640"/>
          </a:xfrm>
          <a:prstGeom prst="righ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Tiếp</a:t>
            </a:r>
            <a:r>
              <a:rPr lang="en-US" sz="1200" b="1" baseline="0">
                <a:solidFill>
                  <a:schemeClr val="tx2"/>
                </a:solidFill>
              </a:rPr>
              <a:t> tục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4" name="Mũi tên: Trái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8671263-E5DB-BE84-F09D-BDEA4D54A2F5}"/>
              </a:ext>
            </a:extLst>
          </xdr:cNvPr>
          <xdr:cNvSpPr/>
        </xdr:nvSpPr>
        <xdr:spPr>
          <a:xfrm>
            <a:off x="9845040" y="228600"/>
            <a:ext cx="1097280" cy="548640"/>
          </a:xfrm>
          <a:prstGeom prst="lef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Trở</a:t>
            </a:r>
            <a:r>
              <a:rPr lang="en-US" sz="1200" b="1" baseline="0">
                <a:solidFill>
                  <a:schemeClr val="tx2"/>
                </a:solidFill>
              </a:rPr>
              <a:t> lại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5" name="Hình chữ nhật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E733184-9B37-7165-1283-10F64AF8AF52}"/>
              </a:ext>
            </a:extLst>
          </xdr:cNvPr>
          <xdr:cNvSpPr/>
        </xdr:nvSpPr>
        <xdr:spPr>
          <a:xfrm>
            <a:off x="10469880" y="762000"/>
            <a:ext cx="1219200" cy="320040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MENU</a:t>
            </a:r>
            <a:endParaRPr lang="en-US" sz="1100" b="1">
              <a:solidFill>
                <a:schemeClr val="tx1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18</xdr:row>
          <xdr:rowOff>0</xdr:rowOff>
        </xdr:from>
        <xdr:to>
          <xdr:col>2</xdr:col>
          <xdr:colOff>1623060</xdr:colOff>
          <xdr:row>18</xdr:row>
          <xdr:rowOff>243840</xdr:rowOff>
        </xdr:to>
        <xdr:sp macro="" textlink="">
          <xdr:nvSpPr>
            <xdr:cNvPr id="5123" name="Scroll Bar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19</xdr:row>
          <xdr:rowOff>0</xdr:rowOff>
        </xdr:from>
        <xdr:to>
          <xdr:col>2</xdr:col>
          <xdr:colOff>1623060</xdr:colOff>
          <xdr:row>19</xdr:row>
          <xdr:rowOff>243840</xdr:rowOff>
        </xdr:to>
        <xdr:sp macro="" textlink="">
          <xdr:nvSpPr>
            <xdr:cNvPr id="5124" name="Scroll Bar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20</xdr:row>
          <xdr:rowOff>243840</xdr:rowOff>
        </xdr:from>
        <xdr:to>
          <xdr:col>2</xdr:col>
          <xdr:colOff>1638300</xdr:colOff>
          <xdr:row>21</xdr:row>
          <xdr:rowOff>243840</xdr:rowOff>
        </xdr:to>
        <xdr:sp macro="" textlink="">
          <xdr:nvSpPr>
            <xdr:cNvPr id="5129" name="Scroll Bar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22</xdr:row>
          <xdr:rowOff>7620</xdr:rowOff>
        </xdr:from>
        <xdr:to>
          <xdr:col>2</xdr:col>
          <xdr:colOff>1645920</xdr:colOff>
          <xdr:row>23</xdr:row>
          <xdr:rowOff>7620</xdr:rowOff>
        </xdr:to>
        <xdr:sp macro="" textlink="">
          <xdr:nvSpPr>
            <xdr:cNvPr id="5130" name="Scroll Bar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24</xdr:row>
          <xdr:rowOff>0</xdr:rowOff>
        </xdr:from>
        <xdr:to>
          <xdr:col>2</xdr:col>
          <xdr:colOff>1645920</xdr:colOff>
          <xdr:row>25</xdr:row>
          <xdr:rowOff>0</xdr:rowOff>
        </xdr:to>
        <xdr:sp macro="" textlink="">
          <xdr:nvSpPr>
            <xdr:cNvPr id="5131" name="Scroll Bar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25</xdr:row>
          <xdr:rowOff>7620</xdr:rowOff>
        </xdr:from>
        <xdr:to>
          <xdr:col>2</xdr:col>
          <xdr:colOff>1645920</xdr:colOff>
          <xdr:row>26</xdr:row>
          <xdr:rowOff>7620</xdr:rowOff>
        </xdr:to>
        <xdr:sp macro="" textlink="">
          <xdr:nvSpPr>
            <xdr:cNvPr id="5132" name="Scroll Bar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27</xdr:row>
          <xdr:rowOff>7620</xdr:rowOff>
        </xdr:from>
        <xdr:to>
          <xdr:col>2</xdr:col>
          <xdr:colOff>1638300</xdr:colOff>
          <xdr:row>28</xdr:row>
          <xdr:rowOff>7620</xdr:rowOff>
        </xdr:to>
        <xdr:sp macro="" textlink="">
          <xdr:nvSpPr>
            <xdr:cNvPr id="5133" name="Scroll Bar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28</xdr:row>
          <xdr:rowOff>22860</xdr:rowOff>
        </xdr:from>
        <xdr:to>
          <xdr:col>2</xdr:col>
          <xdr:colOff>1638300</xdr:colOff>
          <xdr:row>29</xdr:row>
          <xdr:rowOff>22860</xdr:rowOff>
        </xdr:to>
        <xdr:sp macro="" textlink="">
          <xdr:nvSpPr>
            <xdr:cNvPr id="5134" name="Scroll Bar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29</xdr:row>
          <xdr:rowOff>22860</xdr:rowOff>
        </xdr:from>
        <xdr:to>
          <xdr:col>2</xdr:col>
          <xdr:colOff>1638300</xdr:colOff>
          <xdr:row>30</xdr:row>
          <xdr:rowOff>22860</xdr:rowOff>
        </xdr:to>
        <xdr:sp macro="" textlink="">
          <xdr:nvSpPr>
            <xdr:cNvPr id="5135" name="Scroll Bar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30</xdr:row>
          <xdr:rowOff>30480</xdr:rowOff>
        </xdr:from>
        <xdr:to>
          <xdr:col>2</xdr:col>
          <xdr:colOff>1638300</xdr:colOff>
          <xdr:row>31</xdr:row>
          <xdr:rowOff>30480</xdr:rowOff>
        </xdr:to>
        <xdr:sp macro="" textlink="">
          <xdr:nvSpPr>
            <xdr:cNvPr id="5136" name="Scroll Bar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268942</xdr:colOff>
      <xdr:row>12</xdr:row>
      <xdr:rowOff>8964</xdr:rowOff>
    </xdr:from>
    <xdr:to>
      <xdr:col>13</xdr:col>
      <xdr:colOff>555812</xdr:colOff>
      <xdr:row>13</xdr:row>
      <xdr:rowOff>188258</xdr:rowOff>
    </xdr:to>
    <xdr:sp macro="[0]!BieuDoDoanhThu" textlink="">
      <xdr:nvSpPr>
        <xdr:cNvPr id="8" name="Hình chữ nhật 7">
          <a:extLst>
            <a:ext uri="{FF2B5EF4-FFF2-40B4-BE49-F238E27FC236}">
              <a16:creationId xmlns:a16="http://schemas.microsoft.com/office/drawing/2014/main" id="{84938BA1-689B-D865-E94E-2AE2F60951C7}"/>
            </a:ext>
          </a:extLst>
        </xdr:cNvPr>
        <xdr:cNvSpPr/>
      </xdr:nvSpPr>
      <xdr:spPr>
        <a:xfrm>
          <a:off x="13895295" y="2483223"/>
          <a:ext cx="1506070" cy="3765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Tạo</a:t>
          </a:r>
          <a:r>
            <a:rPr lang="en-US" sz="1100" b="1" baseline="0"/>
            <a:t> biểu đồ doanh thu</a:t>
          </a:r>
          <a:endParaRPr lang="en-US" sz="1100" b="1"/>
        </a:p>
      </xdr:txBody>
    </xdr:sp>
    <xdr:clientData/>
  </xdr:twoCellAnchor>
  <xdr:twoCellAnchor>
    <xdr:from>
      <xdr:col>15</xdr:col>
      <xdr:colOff>165847</xdr:colOff>
      <xdr:row>14</xdr:row>
      <xdr:rowOff>179295</xdr:rowOff>
    </xdr:from>
    <xdr:to>
      <xdr:col>22</xdr:col>
      <xdr:colOff>470647</xdr:colOff>
      <xdr:row>26</xdr:row>
      <xdr:rowOff>17930</xdr:rowOff>
    </xdr:to>
    <xdr:graphicFrame macro="">
      <xdr:nvGraphicFramePr>
        <xdr:cNvPr id="9" name="Biểu đồ 8">
          <a:extLst>
            <a:ext uri="{FF2B5EF4-FFF2-40B4-BE49-F238E27FC236}">
              <a16:creationId xmlns:a16="http://schemas.microsoft.com/office/drawing/2014/main" id="{4F993575-C50D-85A4-C58C-CD7C757B0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295835</xdr:colOff>
      <xdr:row>8</xdr:row>
      <xdr:rowOff>8965</xdr:rowOff>
    </xdr:from>
    <xdr:to>
      <xdr:col>13</xdr:col>
      <xdr:colOff>582705</xdr:colOff>
      <xdr:row>10</xdr:row>
      <xdr:rowOff>35859</xdr:rowOff>
    </xdr:to>
    <xdr:sp macro="[0]!BieuDoCoCauSanPham" textlink="">
      <xdr:nvSpPr>
        <xdr:cNvPr id="13" name="Hình chữ nhật 12">
          <a:extLst>
            <a:ext uri="{FF2B5EF4-FFF2-40B4-BE49-F238E27FC236}">
              <a16:creationId xmlns:a16="http://schemas.microsoft.com/office/drawing/2014/main" id="{88A6F376-A221-4790-853F-1CDF9C703B45}"/>
            </a:ext>
          </a:extLst>
        </xdr:cNvPr>
        <xdr:cNvSpPr/>
      </xdr:nvSpPr>
      <xdr:spPr>
        <a:xfrm>
          <a:off x="13922188" y="1658471"/>
          <a:ext cx="150607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Tạo</a:t>
          </a:r>
          <a:r>
            <a:rPr lang="en-US" sz="1100" b="1" baseline="0"/>
            <a:t> biểu đồ cơ cấu sản phẩm</a:t>
          </a:r>
          <a:endParaRPr lang="en-US" sz="1100" b="1"/>
        </a:p>
      </xdr:txBody>
    </xdr:sp>
    <xdr:clientData/>
  </xdr:twoCellAnchor>
  <xdr:twoCellAnchor>
    <xdr:from>
      <xdr:col>15</xdr:col>
      <xdr:colOff>163286</xdr:colOff>
      <xdr:row>0</xdr:row>
      <xdr:rowOff>130628</xdr:rowOff>
    </xdr:from>
    <xdr:to>
      <xdr:col>22</xdr:col>
      <xdr:colOff>468086</xdr:colOff>
      <xdr:row>14</xdr:row>
      <xdr:rowOff>18142</xdr:rowOff>
    </xdr:to>
    <xdr:graphicFrame macro="">
      <xdr:nvGraphicFramePr>
        <xdr:cNvPr id="16" name="Biểu đồ 15">
          <a:extLst>
            <a:ext uri="{FF2B5EF4-FFF2-40B4-BE49-F238E27FC236}">
              <a16:creationId xmlns:a16="http://schemas.microsoft.com/office/drawing/2014/main" id="{6059AC1C-2317-2651-836E-8E4B795DD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91440</xdr:rowOff>
    </xdr:from>
    <xdr:to>
      <xdr:col>0</xdr:col>
      <xdr:colOff>2331720</xdr:colOff>
      <xdr:row>21</xdr:row>
      <xdr:rowOff>30480</xdr:rowOff>
    </xdr:to>
    <xdr:grpSp>
      <xdr:nvGrpSpPr>
        <xdr:cNvPr id="2" name="Nhóm 1">
          <a:extLst>
            <a:ext uri="{FF2B5EF4-FFF2-40B4-BE49-F238E27FC236}">
              <a16:creationId xmlns:a16="http://schemas.microsoft.com/office/drawing/2014/main" id="{2942207E-58B8-4485-80D6-A2219D9EF0BA}"/>
            </a:ext>
          </a:extLst>
        </xdr:cNvPr>
        <xdr:cNvGrpSpPr/>
      </xdr:nvGrpSpPr>
      <xdr:grpSpPr>
        <a:xfrm>
          <a:off x="0" y="3169920"/>
          <a:ext cx="2331720" cy="937260"/>
          <a:chOff x="9845040" y="228600"/>
          <a:chExt cx="2331720" cy="853440"/>
        </a:xfrm>
      </xdr:grpSpPr>
      <xdr:sp macro="" textlink="">
        <xdr:nvSpPr>
          <xdr:cNvPr id="3" name="Mũi tên: Phải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3F7497B-B9AD-AE81-EC8E-6B9C00CA9CC8}"/>
              </a:ext>
            </a:extLst>
          </xdr:cNvPr>
          <xdr:cNvSpPr/>
        </xdr:nvSpPr>
        <xdr:spPr>
          <a:xfrm>
            <a:off x="11079480" y="228600"/>
            <a:ext cx="1097280" cy="548640"/>
          </a:xfrm>
          <a:prstGeom prst="righ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Tiếp</a:t>
            </a:r>
            <a:r>
              <a:rPr lang="en-US" sz="1200" b="1" baseline="0">
                <a:solidFill>
                  <a:schemeClr val="tx2"/>
                </a:solidFill>
              </a:rPr>
              <a:t> tục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4" name="Mũi tên: Trái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09B7F3D-ED50-C5DE-61D5-6E3785E245E9}"/>
              </a:ext>
            </a:extLst>
          </xdr:cNvPr>
          <xdr:cNvSpPr/>
        </xdr:nvSpPr>
        <xdr:spPr>
          <a:xfrm>
            <a:off x="9845040" y="228600"/>
            <a:ext cx="1097280" cy="548640"/>
          </a:xfrm>
          <a:prstGeom prst="leftArrow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2"/>
                </a:solidFill>
              </a:rPr>
              <a:t>Trở</a:t>
            </a:r>
            <a:r>
              <a:rPr lang="en-US" sz="1200" b="1" baseline="0">
                <a:solidFill>
                  <a:schemeClr val="tx2"/>
                </a:solidFill>
              </a:rPr>
              <a:t> lại</a:t>
            </a:r>
            <a:endParaRPr lang="en-US" sz="1200" b="1">
              <a:solidFill>
                <a:schemeClr val="tx2"/>
              </a:solidFill>
            </a:endParaRPr>
          </a:p>
        </xdr:txBody>
      </xdr:sp>
      <xdr:sp macro="" textlink="">
        <xdr:nvSpPr>
          <xdr:cNvPr id="5" name="Hình chữ nhật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6B1B82D-4551-D921-AB8B-4173BFFA2DE8}"/>
              </a:ext>
            </a:extLst>
          </xdr:cNvPr>
          <xdr:cNvSpPr/>
        </xdr:nvSpPr>
        <xdr:spPr>
          <a:xfrm>
            <a:off x="10469880" y="762000"/>
            <a:ext cx="1219200" cy="320040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/>
                </a:solidFill>
              </a:rPr>
              <a:t>MENU</a:t>
            </a:r>
            <a:endParaRPr lang="en-US" sz="11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</xdr:col>
      <xdr:colOff>7620</xdr:colOff>
      <xdr:row>14</xdr:row>
      <xdr:rowOff>99060</xdr:rowOff>
    </xdr:from>
    <xdr:to>
      <xdr:col>5</xdr:col>
      <xdr:colOff>525780</xdr:colOff>
      <xdr:row>15</xdr:row>
      <xdr:rowOff>160020</xdr:rowOff>
    </xdr:to>
    <xdr:sp macro="[0]!ChayDatatable" textlink="">
      <xdr:nvSpPr>
        <xdr:cNvPr id="7" name="Hình chữ nhật 6">
          <a:extLst>
            <a:ext uri="{FF2B5EF4-FFF2-40B4-BE49-F238E27FC236}">
              <a16:creationId xmlns:a16="http://schemas.microsoft.com/office/drawing/2014/main" id="{43A1F38F-F687-2ADA-54CE-D56B1C8C915F}"/>
            </a:ext>
          </a:extLst>
        </xdr:cNvPr>
        <xdr:cNvSpPr/>
      </xdr:nvSpPr>
      <xdr:spPr>
        <a:xfrm>
          <a:off x="5768340" y="2811780"/>
          <a:ext cx="1127760" cy="243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Chạy</a:t>
          </a:r>
          <a:r>
            <a:rPr lang="en-US" sz="1100" b="1" baseline="0"/>
            <a:t> Datatable</a:t>
          </a:r>
          <a:endParaRPr lang="en-US" sz="1100" b="1"/>
        </a:p>
      </xdr:txBody>
    </xdr:sp>
    <xdr:clientData/>
  </xdr:twoCellAnchor>
  <xdr:twoCellAnchor>
    <xdr:from>
      <xdr:col>4</xdr:col>
      <xdr:colOff>7620</xdr:colOff>
      <xdr:row>12</xdr:row>
      <xdr:rowOff>30480</xdr:rowOff>
    </xdr:from>
    <xdr:to>
      <xdr:col>5</xdr:col>
      <xdr:colOff>525780</xdr:colOff>
      <xdr:row>13</xdr:row>
      <xdr:rowOff>91440</xdr:rowOff>
    </xdr:to>
    <xdr:sp macro="[0]!XoaDuLieu" textlink="">
      <xdr:nvSpPr>
        <xdr:cNvPr id="8" name="Hình chữ nhật 7">
          <a:extLst>
            <a:ext uri="{FF2B5EF4-FFF2-40B4-BE49-F238E27FC236}">
              <a16:creationId xmlns:a16="http://schemas.microsoft.com/office/drawing/2014/main" id="{56B631A9-1B56-465E-A109-E5F8DC2D4D0A}"/>
            </a:ext>
          </a:extLst>
        </xdr:cNvPr>
        <xdr:cNvSpPr/>
      </xdr:nvSpPr>
      <xdr:spPr>
        <a:xfrm>
          <a:off x="5768340" y="2377440"/>
          <a:ext cx="1127760" cy="243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Xóa</a:t>
          </a:r>
          <a:r>
            <a:rPr lang="en-US" sz="1100" b="1" baseline="0"/>
            <a:t> dữ liệu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4">
    <wetp:webextensionref xmlns:r="http://schemas.openxmlformats.org/officeDocument/2006/relationships" r:id="rId1"/>
  </wetp:taskpane>
  <wetp:taskpane dockstate="right" visibility="0" width="748" row="5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34F8BAE-97C2-4FD2-9D58-A487B83F5C78}">
  <we:reference id="wa200006009" version="2.1.3.10" store="vi-VN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528090A-E594-4261-85C6-A79586813F4A}">
  <we:reference id="wa200005502" version="1.0.0.13" store="vi-VN" storeType="OMEX"/>
  <we:alternateReferences>
    <we:reference id="WA200005502" version="1.0.0.13" store="WA200005502" storeType="OMEX"/>
  </we:alternateReferences>
  <we:properties>
    <we:property name="docId" value="&quot;Mm1t4sQ2LWSiHd2SaeP0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763E8AB0-199A-4CE1-971B-0B03DE35AF41}">
  <we:reference id="wa200005669" version="2.0.0.0" store="vi-VN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ctrlProp" Target="../ctrlProps/ctrlProp3.xml"/><Relationship Id="rId7" Type="http://schemas.openxmlformats.org/officeDocument/2006/relationships/ctrlProp" Target="../ctrlProps/ctrlProp7.xml"/><Relationship Id="rId12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6.xml"/><Relationship Id="rId11" Type="http://schemas.openxmlformats.org/officeDocument/2006/relationships/ctrlProp" Target="../ctrlProps/ctrlProp11.xml"/><Relationship Id="rId5" Type="http://schemas.openxmlformats.org/officeDocument/2006/relationships/ctrlProp" Target="../ctrlProps/ctrlProp5.xml"/><Relationship Id="rId10" Type="http://schemas.openxmlformats.org/officeDocument/2006/relationships/ctrlProp" Target="../ctrlProps/ctrlProp10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2978-514B-4907-A9F4-E2EF5895DD9C}">
  <sheetPr codeName="Trang_tính6"/>
  <dimension ref="A1"/>
  <sheetViews>
    <sheetView workbookViewId="0"/>
  </sheetViews>
  <sheetFormatPr defaultRowHeight="14.4"/>
  <cols>
    <col min="1" max="16384" width="8.88671875" style="11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0178-8EB0-4855-9569-B8DEBE25E68D}">
  <sheetPr codeName="Trang_tính1"/>
  <dimension ref="A1:H57"/>
  <sheetViews>
    <sheetView topLeftCell="A12" workbookViewId="0"/>
  </sheetViews>
  <sheetFormatPr defaultRowHeight="14.4"/>
  <cols>
    <col min="1" max="1" width="37.77734375" customWidth="1"/>
    <col min="2" max="2" width="13.33203125" bestFit="1" customWidth="1"/>
    <col min="3" max="5" width="12.109375" bestFit="1" customWidth="1"/>
    <col min="6" max="6" width="12.109375" customWidth="1"/>
    <col min="7" max="8" width="12.109375" bestFit="1" customWidth="1"/>
  </cols>
  <sheetData>
    <row r="1" spans="1:8" ht="31.8" thickBot="1">
      <c r="A1" s="12" t="s">
        <v>0</v>
      </c>
      <c r="B1" s="13" t="s">
        <v>1</v>
      </c>
      <c r="C1" s="14" t="s">
        <v>84</v>
      </c>
      <c r="F1" s="31" t="s">
        <v>47</v>
      </c>
      <c r="G1" s="32" t="s">
        <v>21</v>
      </c>
      <c r="H1" s="32" t="s">
        <v>48</v>
      </c>
    </row>
    <row r="2" spans="1:8" ht="16.2" thickBot="1">
      <c r="A2" s="17" t="s">
        <v>2</v>
      </c>
      <c r="B2" s="25">
        <v>200000000</v>
      </c>
      <c r="C2" s="26">
        <v>7</v>
      </c>
      <c r="G2" s="33">
        <v>1</v>
      </c>
      <c r="H2" s="33">
        <v>40000000</v>
      </c>
    </row>
    <row r="3" spans="1:8" ht="16.2" thickBot="1">
      <c r="A3" s="17" t="s">
        <v>3</v>
      </c>
      <c r="B3" s="25">
        <v>150000000</v>
      </c>
      <c r="C3" s="26">
        <v>5</v>
      </c>
      <c r="G3" s="33">
        <v>2</v>
      </c>
      <c r="H3" s="33"/>
    </row>
    <row r="4" spans="1:8" ht="16.2" thickBot="1">
      <c r="A4" s="17" t="s">
        <v>4</v>
      </c>
      <c r="B4" s="25">
        <v>100000000</v>
      </c>
      <c r="C4" s="26">
        <v>7</v>
      </c>
      <c r="G4" s="33">
        <v>3</v>
      </c>
      <c r="H4" s="33"/>
    </row>
    <row r="5" spans="1:8" ht="16.2" thickBot="1">
      <c r="A5" s="17" t="s">
        <v>5</v>
      </c>
      <c r="B5" s="25">
        <v>150000000</v>
      </c>
      <c r="C5" s="26">
        <v>6</v>
      </c>
      <c r="G5" s="33">
        <v>4</v>
      </c>
      <c r="H5" s="33">
        <v>25000000</v>
      </c>
    </row>
    <row r="6" spans="1:8" ht="16.2" thickBot="1">
      <c r="A6" s="17" t="s">
        <v>6</v>
      </c>
      <c r="B6" s="25">
        <v>50000000</v>
      </c>
      <c r="C6" s="26">
        <v>6</v>
      </c>
      <c r="G6" s="33">
        <v>5</v>
      </c>
      <c r="H6" s="33">
        <v>7000000</v>
      </c>
    </row>
    <row r="7" spans="1:8" ht="16.2" thickBot="1">
      <c r="A7" s="17" t="s">
        <v>7</v>
      </c>
      <c r="B7" s="25">
        <v>50000000</v>
      </c>
      <c r="C7" s="26">
        <v>5</v>
      </c>
      <c r="G7" s="33">
        <v>6</v>
      </c>
      <c r="H7" s="33">
        <v>7000000</v>
      </c>
    </row>
    <row r="8" spans="1:8" ht="16.2" thickBot="1">
      <c r="A8" s="17" t="s">
        <v>8</v>
      </c>
      <c r="B8" s="25">
        <v>100000000</v>
      </c>
      <c r="C8" s="26">
        <v>5</v>
      </c>
      <c r="G8" s="33">
        <v>7</v>
      </c>
      <c r="H8" s="33">
        <v>7000000</v>
      </c>
    </row>
    <row r="11" spans="1:8" ht="16.2" thickBot="1">
      <c r="A11" s="129" t="s">
        <v>85</v>
      </c>
      <c r="B11" s="129"/>
      <c r="C11" s="129"/>
      <c r="D11" s="129"/>
      <c r="E11" s="129"/>
      <c r="F11" s="129"/>
      <c r="G11" s="129"/>
      <c r="H11" s="129"/>
    </row>
    <row r="12" spans="1:8" ht="16.2" thickBot="1">
      <c r="A12" s="15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14</v>
      </c>
      <c r="G12" s="14" t="s">
        <v>15</v>
      </c>
      <c r="H12" s="14" t="s">
        <v>16</v>
      </c>
    </row>
    <row r="13" spans="1:8" ht="16.2" thickBot="1">
      <c r="A13" s="16" t="s">
        <v>17</v>
      </c>
      <c r="B13" s="25">
        <v>20000000</v>
      </c>
      <c r="C13" s="25">
        <v>30000000</v>
      </c>
      <c r="D13" s="25">
        <v>30000000</v>
      </c>
      <c r="E13" s="25">
        <v>40000000</v>
      </c>
      <c r="F13" s="25">
        <v>45000000</v>
      </c>
      <c r="G13" s="25">
        <v>45000000</v>
      </c>
      <c r="H13" s="25">
        <v>45000000</v>
      </c>
    </row>
    <row r="14" spans="1:8" ht="16.2" thickBot="1">
      <c r="A14" s="16" t="s">
        <v>18</v>
      </c>
      <c r="B14" s="25">
        <v>30000000</v>
      </c>
      <c r="C14" s="25">
        <v>35000000</v>
      </c>
      <c r="D14" s="25">
        <v>40000000</v>
      </c>
      <c r="E14" s="25">
        <v>50000000</v>
      </c>
      <c r="F14" s="25">
        <v>50000000</v>
      </c>
      <c r="G14" s="25">
        <v>50000000</v>
      </c>
      <c r="H14" s="25">
        <v>50000000</v>
      </c>
    </row>
    <row r="15" spans="1:8" ht="16.2" thickBot="1">
      <c r="A15" s="16" t="s">
        <v>19</v>
      </c>
      <c r="B15" s="25">
        <v>30000000</v>
      </c>
      <c r="C15" s="25">
        <v>30000000</v>
      </c>
      <c r="D15" s="25">
        <v>45000000</v>
      </c>
      <c r="E15" s="25">
        <v>45000000</v>
      </c>
      <c r="F15" s="25">
        <v>45000000</v>
      </c>
      <c r="G15" s="25">
        <v>45000000</v>
      </c>
      <c r="H15" s="25">
        <v>45000000</v>
      </c>
    </row>
    <row r="16" spans="1:8" ht="16.2" thickBot="1">
      <c r="A16" s="16" t="s">
        <v>20</v>
      </c>
      <c r="B16" s="25">
        <v>15000000</v>
      </c>
      <c r="C16" s="25">
        <v>15000000</v>
      </c>
      <c r="D16" s="25">
        <v>15000000</v>
      </c>
      <c r="E16" s="25">
        <v>15000000</v>
      </c>
      <c r="F16" s="25">
        <v>15000000</v>
      </c>
      <c r="G16" s="25">
        <v>15000000</v>
      </c>
      <c r="H16" s="25">
        <v>15000000</v>
      </c>
    </row>
    <row r="17" spans="1:8" ht="16.2" thickBot="1">
      <c r="A17" s="17" t="s">
        <v>67</v>
      </c>
      <c r="B17" s="25">
        <v>20000000</v>
      </c>
      <c r="C17" s="25">
        <v>20000000</v>
      </c>
      <c r="D17" s="25">
        <v>20000000</v>
      </c>
      <c r="E17" s="25">
        <v>20000000</v>
      </c>
      <c r="F17" s="25">
        <v>20000000</v>
      </c>
      <c r="G17" s="25">
        <v>20000000</v>
      </c>
      <c r="H17" s="25">
        <v>20000000</v>
      </c>
    </row>
    <row r="20" spans="1:8" ht="15.6">
      <c r="A20" s="6"/>
    </row>
    <row r="21" spans="1:8" ht="18" thickBot="1">
      <c r="A21" s="130" t="s">
        <v>83</v>
      </c>
      <c r="B21" s="130"/>
      <c r="C21" s="130"/>
      <c r="D21" s="130"/>
      <c r="E21" s="130"/>
      <c r="F21" s="130"/>
      <c r="G21" s="130"/>
      <c r="H21" s="130"/>
    </row>
    <row r="22" spans="1:8" ht="18" thickBot="1">
      <c r="A22" s="18" t="s">
        <v>21</v>
      </c>
      <c r="B22" s="19">
        <v>1</v>
      </c>
      <c r="C22" s="19">
        <v>2</v>
      </c>
      <c r="D22" s="19">
        <v>3</v>
      </c>
      <c r="E22" s="19">
        <v>4</v>
      </c>
      <c r="F22" s="19">
        <v>5</v>
      </c>
      <c r="G22" s="19">
        <v>6</v>
      </c>
      <c r="H22" s="19">
        <v>7</v>
      </c>
    </row>
    <row r="23" spans="1:8" ht="18" thickBot="1">
      <c r="A23" s="20" t="s">
        <v>22</v>
      </c>
      <c r="B23" s="23">
        <v>1500</v>
      </c>
      <c r="C23" s="23">
        <v>2500</v>
      </c>
      <c r="D23" s="23">
        <v>3200</v>
      </c>
      <c r="E23" s="23">
        <v>4500</v>
      </c>
      <c r="F23" s="24">
        <v>5000</v>
      </c>
      <c r="G23" s="24">
        <v>5500</v>
      </c>
      <c r="H23" s="24">
        <f>G23*1.3</f>
        <v>7150</v>
      </c>
    </row>
    <row r="24" spans="1:8" ht="18" thickBot="1">
      <c r="A24" s="20" t="s">
        <v>23</v>
      </c>
      <c r="B24" s="23">
        <v>2000</v>
      </c>
      <c r="C24" s="23">
        <v>3000</v>
      </c>
      <c r="D24" s="23">
        <v>4000</v>
      </c>
      <c r="E24" s="23">
        <f>D24*1.3</f>
        <v>5200</v>
      </c>
      <c r="F24" s="23">
        <v>5700</v>
      </c>
      <c r="G24" s="24">
        <v>6300</v>
      </c>
      <c r="H24" s="24">
        <f>G24*1.3</f>
        <v>8190</v>
      </c>
    </row>
    <row r="25" spans="1:8" ht="18" thickBot="1">
      <c r="A25" s="20" t="s">
        <v>24</v>
      </c>
      <c r="B25" s="23">
        <v>1900</v>
      </c>
      <c r="C25" s="23">
        <v>2500</v>
      </c>
      <c r="D25" s="23">
        <v>4100</v>
      </c>
      <c r="E25" s="23">
        <f>D25*1.3</f>
        <v>5330</v>
      </c>
      <c r="F25" s="23">
        <f>E25*1.3</f>
        <v>6929</v>
      </c>
      <c r="G25" s="24">
        <f>F25*1.3</f>
        <v>9007.7000000000007</v>
      </c>
      <c r="H25" s="24">
        <f>G25*1.1</f>
        <v>9908.4700000000012</v>
      </c>
    </row>
    <row r="26" spans="1:8" ht="18" thickBot="1">
      <c r="A26" s="20" t="s">
        <v>25</v>
      </c>
      <c r="B26" s="23">
        <v>2000</v>
      </c>
      <c r="C26" s="23">
        <v>3000</v>
      </c>
      <c r="D26" s="23">
        <v>4000</v>
      </c>
      <c r="E26" s="23">
        <f>D26*1.3</f>
        <v>5200</v>
      </c>
      <c r="F26" s="23">
        <f>E26*1.3</f>
        <v>6760</v>
      </c>
      <c r="G26" s="24">
        <f>F26*1.3</f>
        <v>8788</v>
      </c>
      <c r="H26" s="24">
        <f>G26*1.1</f>
        <v>9666.8000000000011</v>
      </c>
    </row>
    <row r="28" spans="1:8" ht="15.6">
      <c r="A28" s="131" t="s">
        <v>88</v>
      </c>
      <c r="B28" s="131"/>
    </row>
    <row r="29" spans="1:8" ht="15.6">
      <c r="A29" s="21" t="s">
        <v>26</v>
      </c>
      <c r="B29" s="22">
        <v>55000</v>
      </c>
    </row>
    <row r="30" spans="1:8" ht="15.6">
      <c r="A30" s="21" t="s">
        <v>27</v>
      </c>
      <c r="B30" s="22">
        <v>60000</v>
      </c>
    </row>
    <row r="31" spans="1:8" ht="15.6">
      <c r="A31" s="21" t="s">
        <v>86</v>
      </c>
      <c r="B31" s="22">
        <v>60000</v>
      </c>
    </row>
    <row r="32" spans="1:8" ht="15.6">
      <c r="A32" s="21" t="s">
        <v>87</v>
      </c>
      <c r="B32" s="22">
        <v>45000</v>
      </c>
    </row>
    <row r="33" spans="1:4" ht="15.6">
      <c r="A33" s="1"/>
      <c r="B33" s="1"/>
      <c r="C33" s="1"/>
      <c r="D33" s="1"/>
    </row>
    <row r="34" spans="1:4" ht="15.6">
      <c r="A34" s="132" t="s">
        <v>89</v>
      </c>
      <c r="B34" s="132"/>
    </row>
    <row r="35" spans="1:4" ht="15.6">
      <c r="A35" s="126" t="s">
        <v>28</v>
      </c>
      <c r="B35" s="126"/>
    </row>
    <row r="36" spans="1:4" ht="15.6">
      <c r="A36" s="27" t="s">
        <v>29</v>
      </c>
      <c r="B36" s="28">
        <v>5000</v>
      </c>
    </row>
    <row r="37" spans="1:4" ht="15.6">
      <c r="A37" s="27" t="s">
        <v>30</v>
      </c>
      <c r="B37" s="28">
        <v>2000</v>
      </c>
    </row>
    <row r="38" spans="1:4" ht="15.6">
      <c r="A38" s="27" t="s">
        <v>71</v>
      </c>
      <c r="B38" s="28">
        <v>2000</v>
      </c>
    </row>
    <row r="39" spans="1:4" ht="15.6">
      <c r="A39" s="27" t="s">
        <v>31</v>
      </c>
      <c r="B39" s="28">
        <v>4500</v>
      </c>
    </row>
    <row r="40" spans="1:4" ht="15.6">
      <c r="A40" s="27" t="s">
        <v>32</v>
      </c>
      <c r="B40" s="28">
        <v>2000</v>
      </c>
    </row>
    <row r="41" spans="1:4" ht="15.6">
      <c r="A41" s="27" t="s">
        <v>33</v>
      </c>
      <c r="B41" s="28">
        <v>1500</v>
      </c>
    </row>
    <row r="42" spans="1:4" ht="15.6">
      <c r="A42" s="8"/>
      <c r="B42" s="8"/>
    </row>
    <row r="43" spans="1:4" ht="15.6">
      <c r="A43" s="133" t="s">
        <v>34</v>
      </c>
      <c r="B43" s="133"/>
    </row>
    <row r="44" spans="1:4" ht="15.6">
      <c r="A44" s="29" t="s">
        <v>26</v>
      </c>
      <c r="B44" s="30"/>
    </row>
    <row r="45" spans="1:4" ht="15.6">
      <c r="A45" s="27" t="s">
        <v>35</v>
      </c>
      <c r="B45" s="28">
        <v>9000</v>
      </c>
    </row>
    <row r="46" spans="1:4" ht="15.6">
      <c r="A46" s="27" t="s">
        <v>36</v>
      </c>
      <c r="B46" s="28">
        <v>5000</v>
      </c>
    </row>
    <row r="47" spans="1:4" ht="15.6">
      <c r="A47" s="11" t="s">
        <v>27</v>
      </c>
      <c r="B47" s="10"/>
    </row>
    <row r="48" spans="1:4" ht="15.6">
      <c r="A48" s="27" t="s">
        <v>37</v>
      </c>
      <c r="B48" s="28">
        <v>7000</v>
      </c>
    </row>
    <row r="49" spans="1:2" ht="15.6">
      <c r="A49" s="27" t="s">
        <v>38</v>
      </c>
      <c r="B49" s="28">
        <v>3000</v>
      </c>
    </row>
    <row r="50" spans="1:2" ht="15.6">
      <c r="A50" s="11" t="s">
        <v>86</v>
      </c>
      <c r="B50" s="10"/>
    </row>
    <row r="51" spans="1:2" ht="15.6">
      <c r="A51" s="27" t="s">
        <v>40</v>
      </c>
      <c r="B51" s="28">
        <v>8000</v>
      </c>
    </row>
    <row r="52" spans="1:2" ht="15.6">
      <c r="A52" s="27" t="s">
        <v>41</v>
      </c>
      <c r="B52" s="28">
        <v>2000</v>
      </c>
    </row>
    <row r="53" spans="1:2" ht="15.6">
      <c r="A53" s="11" t="s">
        <v>42</v>
      </c>
      <c r="B53" s="10"/>
    </row>
    <row r="54" spans="1:2" ht="15.6">
      <c r="A54" s="27" t="s">
        <v>43</v>
      </c>
      <c r="B54" s="28">
        <v>3000</v>
      </c>
    </row>
    <row r="55" spans="1:2" ht="15.6">
      <c r="A55" s="27" t="s">
        <v>44</v>
      </c>
      <c r="B55" s="28">
        <v>1000</v>
      </c>
    </row>
    <row r="56" spans="1:2" ht="15.6">
      <c r="A56" s="27" t="s">
        <v>45</v>
      </c>
      <c r="B56" s="28">
        <v>2000</v>
      </c>
    </row>
    <row r="57" spans="1:2" ht="15.6">
      <c r="A57" s="27" t="s">
        <v>46</v>
      </c>
      <c r="B57" s="28">
        <v>2000</v>
      </c>
    </row>
  </sheetData>
  <mergeCells count="6">
    <mergeCell ref="A11:H11"/>
    <mergeCell ref="A21:H21"/>
    <mergeCell ref="A28:B28"/>
    <mergeCell ref="A34:B34"/>
    <mergeCell ref="A43:B43"/>
    <mergeCell ref="A35:B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BA85-D0B2-473E-ACF5-CD463732649C}">
  <sheetPr codeName="Trang_tính2"/>
  <dimension ref="A1:AA62"/>
  <sheetViews>
    <sheetView topLeftCell="G41" zoomScaleNormal="100" workbookViewId="0"/>
  </sheetViews>
  <sheetFormatPr defaultRowHeight="14.4"/>
  <cols>
    <col min="1" max="1" width="32" customWidth="1"/>
    <col min="2" max="2" width="16.33203125" customWidth="1"/>
    <col min="3" max="4" width="12.109375" bestFit="1" customWidth="1"/>
    <col min="5" max="5" width="13.88671875" bestFit="1" customWidth="1"/>
    <col min="6" max="6" width="12.77734375" bestFit="1" customWidth="1"/>
    <col min="7" max="7" width="13.33203125" bestFit="1" customWidth="1"/>
    <col min="8" max="8" width="12.77734375" bestFit="1" customWidth="1"/>
    <col min="10" max="10" width="22.88671875" customWidth="1"/>
    <col min="11" max="11" width="26.21875" customWidth="1"/>
    <col min="12" max="12" width="17" customWidth="1"/>
    <col min="13" max="13" width="15" bestFit="1" customWidth="1"/>
    <col min="14" max="14" width="14.88671875" customWidth="1"/>
    <col min="15" max="15" width="15.21875" customWidth="1"/>
    <col min="16" max="16" width="15.21875" bestFit="1" customWidth="1"/>
    <col min="17" max="17" width="16.77734375" customWidth="1"/>
    <col min="18" max="19" width="15.21875" bestFit="1" customWidth="1"/>
    <col min="20" max="20" width="14.88671875" bestFit="1" customWidth="1"/>
    <col min="21" max="21" width="13.5546875" bestFit="1" customWidth="1"/>
    <col min="22" max="22" width="14.88671875" bestFit="1" customWidth="1"/>
    <col min="23" max="23" width="13.5546875" customWidth="1"/>
    <col min="24" max="24" width="15.44140625" bestFit="1" customWidth="1"/>
    <col min="25" max="25" width="16" customWidth="1"/>
    <col min="26" max="26" width="14.88671875" bestFit="1" customWidth="1"/>
    <col min="27" max="27" width="19.88671875" customWidth="1"/>
  </cols>
  <sheetData>
    <row r="1" spans="1:27" ht="21.6" thickBot="1">
      <c r="A1" s="103" t="s">
        <v>115</v>
      </c>
      <c r="J1" s="103" t="s">
        <v>116</v>
      </c>
    </row>
    <row r="2" spans="1:27" ht="31.8" thickBot="1">
      <c r="A2" s="12" t="s">
        <v>0</v>
      </c>
      <c r="B2" s="13" t="s">
        <v>1</v>
      </c>
      <c r="C2" s="13" t="s">
        <v>84</v>
      </c>
      <c r="F2" s="54"/>
      <c r="G2" s="72"/>
      <c r="H2" s="72"/>
      <c r="K2" t="s">
        <v>94</v>
      </c>
      <c r="M2" s="5"/>
    </row>
    <row r="3" spans="1:27" ht="16.2" thickBot="1">
      <c r="A3" s="17" t="s">
        <v>2</v>
      </c>
      <c r="B3" s="36">
        <v>200000000</v>
      </c>
      <c r="C3" s="37">
        <v>7</v>
      </c>
      <c r="F3" s="71"/>
      <c r="G3" s="56"/>
      <c r="H3" s="56"/>
      <c r="J3" t="s">
        <v>95</v>
      </c>
      <c r="K3" s="5">
        <v>0.1</v>
      </c>
      <c r="L3" s="146" t="s">
        <v>93</v>
      </c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spans="1:27" ht="16.2" thickBot="1">
      <c r="A4" s="17" t="s">
        <v>3</v>
      </c>
      <c r="B4" s="36">
        <v>150000000</v>
      </c>
      <c r="C4" s="37">
        <v>5</v>
      </c>
      <c r="F4" s="71"/>
      <c r="G4" s="56"/>
      <c r="H4" s="56"/>
      <c r="J4" t="s">
        <v>90</v>
      </c>
      <c r="L4" s="57" t="s">
        <v>91</v>
      </c>
      <c r="M4" s="134">
        <f>B3</f>
        <v>200000000</v>
      </c>
      <c r="N4" s="135"/>
      <c r="O4" s="134">
        <f>B4</f>
        <v>150000000</v>
      </c>
      <c r="P4" s="135"/>
      <c r="Q4" s="134">
        <f>B5</f>
        <v>100000000</v>
      </c>
      <c r="R4" s="135"/>
      <c r="S4" s="134">
        <f>B6</f>
        <v>150000000</v>
      </c>
      <c r="T4" s="135"/>
      <c r="U4" s="134">
        <f>B7</f>
        <v>50000000</v>
      </c>
      <c r="V4" s="135"/>
      <c r="W4" s="134">
        <f>B8</f>
        <v>50000000</v>
      </c>
      <c r="X4" s="135"/>
      <c r="Y4" s="134">
        <f>B9</f>
        <v>100000000</v>
      </c>
      <c r="Z4" s="135"/>
      <c r="AA4" s="136"/>
    </row>
    <row r="5" spans="1:27" ht="16.2" thickBot="1">
      <c r="A5" s="17" t="s">
        <v>4</v>
      </c>
      <c r="B5" s="36">
        <v>100000000</v>
      </c>
      <c r="C5" s="34">
        <v>7</v>
      </c>
      <c r="F5" s="71"/>
      <c r="G5" s="56"/>
      <c r="H5" s="56"/>
      <c r="L5" s="57" t="s">
        <v>92</v>
      </c>
      <c r="M5" s="139">
        <f>C3</f>
        <v>7</v>
      </c>
      <c r="N5" s="140"/>
      <c r="O5" s="139">
        <v>7</v>
      </c>
      <c r="P5" s="140"/>
      <c r="Q5" s="139">
        <f>C5</f>
        <v>7</v>
      </c>
      <c r="R5" s="140"/>
      <c r="S5" s="139">
        <v>7</v>
      </c>
      <c r="T5" s="140"/>
      <c r="U5" s="139">
        <v>7</v>
      </c>
      <c r="V5" s="140"/>
      <c r="W5" s="139">
        <v>7</v>
      </c>
      <c r="X5" s="140"/>
      <c r="Y5" s="139">
        <v>7</v>
      </c>
      <c r="Z5" s="140"/>
      <c r="AA5" s="137"/>
    </row>
    <row r="6" spans="1:27" ht="16.2" thickBot="1">
      <c r="A6" s="17" t="s">
        <v>5</v>
      </c>
      <c r="B6" s="36">
        <v>150000000</v>
      </c>
      <c r="C6" s="37">
        <v>6</v>
      </c>
      <c r="F6" s="71"/>
      <c r="G6" s="56"/>
      <c r="H6" s="56"/>
      <c r="L6" s="141"/>
      <c r="M6" s="147" t="s">
        <v>2</v>
      </c>
      <c r="N6" s="147"/>
      <c r="O6" s="148" t="s">
        <v>3</v>
      </c>
      <c r="P6" s="148"/>
      <c r="Q6" s="149" t="s">
        <v>4</v>
      </c>
      <c r="R6" s="149"/>
      <c r="S6" s="150" t="s">
        <v>5</v>
      </c>
      <c r="T6" s="150"/>
      <c r="U6" s="151" t="s">
        <v>53</v>
      </c>
      <c r="V6" s="151"/>
      <c r="W6" s="152" t="s">
        <v>7</v>
      </c>
      <c r="X6" s="152"/>
      <c r="Y6" s="138" t="s">
        <v>8</v>
      </c>
      <c r="Z6" s="138"/>
      <c r="AA6" s="153" t="s">
        <v>96</v>
      </c>
    </row>
    <row r="7" spans="1:27" ht="22.05" customHeight="1" thickBot="1">
      <c r="A7" s="17" t="s">
        <v>6</v>
      </c>
      <c r="B7" s="36">
        <v>50000000</v>
      </c>
      <c r="C7" s="37">
        <v>6</v>
      </c>
      <c r="F7" s="71"/>
      <c r="G7" s="56"/>
      <c r="H7" s="56"/>
      <c r="L7" s="142"/>
      <c r="M7" s="58" t="s">
        <v>49</v>
      </c>
      <c r="N7" s="58" t="s">
        <v>50</v>
      </c>
      <c r="O7" s="58" t="s">
        <v>49</v>
      </c>
      <c r="P7" s="58" t="s">
        <v>50</v>
      </c>
      <c r="Q7" s="58" t="s">
        <v>49</v>
      </c>
      <c r="R7" s="58" t="s">
        <v>51</v>
      </c>
      <c r="S7" s="58" t="s">
        <v>49</v>
      </c>
      <c r="T7" s="58" t="s">
        <v>51</v>
      </c>
      <c r="U7" s="58" t="s">
        <v>49</v>
      </c>
      <c r="V7" s="58" t="s">
        <v>50</v>
      </c>
      <c r="W7" s="58" t="s">
        <v>52</v>
      </c>
      <c r="X7" s="58" t="s">
        <v>51</v>
      </c>
      <c r="Y7" s="58" t="s">
        <v>49</v>
      </c>
      <c r="Z7" s="58" t="s">
        <v>50</v>
      </c>
      <c r="AA7" s="154"/>
    </row>
    <row r="8" spans="1:27" ht="16.2" thickBot="1">
      <c r="A8" s="17" t="s">
        <v>7</v>
      </c>
      <c r="B8" s="36">
        <v>50000000</v>
      </c>
      <c r="C8" s="37">
        <v>5</v>
      </c>
      <c r="F8" s="71"/>
      <c r="G8" s="56"/>
      <c r="H8" s="56"/>
      <c r="L8" s="49">
        <v>0</v>
      </c>
      <c r="M8" s="9"/>
      <c r="N8" s="50">
        <f>M4</f>
        <v>200000000</v>
      </c>
      <c r="O8" s="9"/>
      <c r="P8" s="50">
        <f>O4</f>
        <v>150000000</v>
      </c>
      <c r="Q8" s="9"/>
      <c r="R8" s="50">
        <f>Q4</f>
        <v>100000000</v>
      </c>
      <c r="S8" s="9"/>
      <c r="T8" s="50">
        <f>S4</f>
        <v>150000000</v>
      </c>
      <c r="U8" s="9"/>
      <c r="V8" s="50">
        <f>U4</f>
        <v>50000000</v>
      </c>
      <c r="W8" s="9"/>
      <c r="X8" s="50">
        <f>W4</f>
        <v>50000000</v>
      </c>
      <c r="Y8" s="9"/>
      <c r="Z8" s="50">
        <f>Y4</f>
        <v>100000000</v>
      </c>
      <c r="AA8" s="9"/>
    </row>
    <row r="9" spans="1:27" ht="14.4" customHeight="1">
      <c r="A9" s="51" t="s">
        <v>8</v>
      </c>
      <c r="B9" s="52">
        <v>100000000</v>
      </c>
      <c r="C9" s="53">
        <v>5</v>
      </c>
      <c r="F9" s="71"/>
      <c r="G9" s="56"/>
      <c r="H9" s="56"/>
      <c r="L9" s="49">
        <v>1</v>
      </c>
      <c r="M9" s="84">
        <f>SLN($M$4,$M$4*$K$3,$M$5)</f>
        <v>25714285.714285713</v>
      </c>
      <c r="N9" s="84">
        <f>N8-M9</f>
        <v>174285714.2857143</v>
      </c>
      <c r="O9" s="84">
        <f>SLN($O$4,$O$4*$K$3,$O$5)</f>
        <v>19285714.285714287</v>
      </c>
      <c r="P9" s="96">
        <f>P8-O9</f>
        <v>130714285.71428572</v>
      </c>
      <c r="Q9" s="84">
        <f>SLN($Q$4,$Q$4*$K$3,$Q$5)</f>
        <v>12857142.857142856</v>
      </c>
      <c r="R9" s="84">
        <f>R8-Q9</f>
        <v>87142857.142857149</v>
      </c>
      <c r="S9" s="84">
        <f>SLN($S$4,$S$4*$K$3,$S$5)</f>
        <v>19285714.285714287</v>
      </c>
      <c r="T9" s="84">
        <f>T8-S9</f>
        <v>130714285.71428572</v>
      </c>
      <c r="U9" s="84">
        <f>SLN($U$4,$U$4*$K$3,$U$5)</f>
        <v>6428571.4285714282</v>
      </c>
      <c r="V9" s="96">
        <f>V8-U9</f>
        <v>43571428.571428575</v>
      </c>
      <c r="W9" s="84">
        <f>SLN($W$4,$W$4*$K$3,$W$5)</f>
        <v>6428571.4285714282</v>
      </c>
      <c r="X9" s="96">
        <f>X8-W9</f>
        <v>43571428.571428575</v>
      </c>
      <c r="Y9" s="84">
        <f>SLN($Y$4,$Y$4*$K$3,$Y$5)</f>
        <v>12857142.857142856</v>
      </c>
      <c r="Z9" s="96">
        <f>Z8-Y9</f>
        <v>87142857.142857149</v>
      </c>
      <c r="AA9" s="59">
        <f>M9+O9+Q9+S9+U9+W9+Y9</f>
        <v>102857142.85714287</v>
      </c>
    </row>
    <row r="10" spans="1:27" ht="15.6">
      <c r="A10" s="54" t="s">
        <v>47</v>
      </c>
      <c r="B10" s="55"/>
      <c r="C10" s="54"/>
      <c r="F10" s="7"/>
      <c r="G10" s="56"/>
      <c r="H10" s="56"/>
      <c r="L10" s="49">
        <v>2</v>
      </c>
      <c r="M10" s="84">
        <f t="shared" ref="M10:M15" si="0">SLN($M$4,$M$4*$K$3,$M$5)</f>
        <v>25714285.714285713</v>
      </c>
      <c r="N10" s="84">
        <f t="shared" ref="N10:N15" si="1">N9-M10</f>
        <v>148571428.5714286</v>
      </c>
      <c r="O10" s="84">
        <f t="shared" ref="O10:O15" si="2">SLN($O$4,$O$4*$K$3,$O$5)</f>
        <v>19285714.285714287</v>
      </c>
      <c r="P10" s="96">
        <f t="shared" ref="P10:P15" si="3">P9-O10</f>
        <v>111428571.42857143</v>
      </c>
      <c r="Q10" s="84">
        <f t="shared" ref="Q10:Q15" si="4">SLN($Q$4,$Q$4*$K$3,$Q$5)</f>
        <v>12857142.857142856</v>
      </c>
      <c r="R10" s="84">
        <f t="shared" ref="R10:R14" si="5">R9-Q10</f>
        <v>74285714.285714298</v>
      </c>
      <c r="S10" s="84">
        <f t="shared" ref="S10:S15" si="6">SLN($S$4,$S$4*$K$3,$S$5)</f>
        <v>19285714.285714287</v>
      </c>
      <c r="T10" s="84">
        <f t="shared" ref="T10:T15" si="7">T9-S10</f>
        <v>111428571.42857143</v>
      </c>
      <c r="U10" s="84">
        <f t="shared" ref="U10:U15" si="8">SLN($U$4,$U$4*$K$3,$U$5)</f>
        <v>6428571.4285714282</v>
      </c>
      <c r="V10" s="96">
        <f t="shared" ref="V10:V15" si="9">V9-U10</f>
        <v>37142857.142857149</v>
      </c>
      <c r="W10" s="84">
        <f t="shared" ref="W10:W15" si="10">SLN($W$4,$W$4*$K$3,$W$5)</f>
        <v>6428571.4285714282</v>
      </c>
      <c r="X10" s="96">
        <f t="shared" ref="X10:X15" si="11">X9-W10</f>
        <v>37142857.142857149</v>
      </c>
      <c r="Y10" s="84">
        <f t="shared" ref="Y10:Y15" si="12">SLN($Y$4,$Y$4*$K$3,$Y$5)</f>
        <v>12857142.857142856</v>
      </c>
      <c r="Z10" s="96">
        <f t="shared" ref="Z10:Z15" si="13">Z9-Y10</f>
        <v>74285714.285714298</v>
      </c>
      <c r="AA10" s="59">
        <f t="shared" ref="AA10:AA15" si="14">M10+O10+Q10+S10+U10+W10+Y10</f>
        <v>102857142.85714287</v>
      </c>
    </row>
    <row r="11" spans="1:27" ht="15.6">
      <c r="A11" s="65" t="s">
        <v>21</v>
      </c>
      <c r="B11" s="67">
        <v>1</v>
      </c>
      <c r="C11" s="68">
        <v>2</v>
      </c>
      <c r="D11" s="62">
        <v>3</v>
      </c>
      <c r="E11" s="62">
        <v>4</v>
      </c>
      <c r="F11" s="69">
        <v>5</v>
      </c>
      <c r="G11" s="70">
        <v>6</v>
      </c>
      <c r="H11" s="70">
        <v>7</v>
      </c>
      <c r="L11" s="49">
        <v>3</v>
      </c>
      <c r="M11" s="84">
        <f t="shared" si="0"/>
        <v>25714285.714285713</v>
      </c>
      <c r="N11" s="84">
        <f t="shared" si="1"/>
        <v>122857142.85714288</v>
      </c>
      <c r="O11" s="84">
        <f t="shared" si="2"/>
        <v>19285714.285714287</v>
      </c>
      <c r="P11" s="96">
        <f t="shared" si="3"/>
        <v>92142857.142857149</v>
      </c>
      <c r="Q11" s="84">
        <f t="shared" si="4"/>
        <v>12857142.857142856</v>
      </c>
      <c r="R11" s="84">
        <f t="shared" si="5"/>
        <v>61428571.42857144</v>
      </c>
      <c r="S11" s="84">
        <f t="shared" si="6"/>
        <v>19285714.285714287</v>
      </c>
      <c r="T11" s="84">
        <f t="shared" si="7"/>
        <v>92142857.142857149</v>
      </c>
      <c r="U11" s="84">
        <f t="shared" si="8"/>
        <v>6428571.4285714282</v>
      </c>
      <c r="V11" s="96">
        <f t="shared" si="9"/>
        <v>30714285.71428572</v>
      </c>
      <c r="W11" s="84">
        <f t="shared" si="10"/>
        <v>6428571.4285714282</v>
      </c>
      <c r="X11" s="96">
        <f t="shared" si="11"/>
        <v>30714285.71428572</v>
      </c>
      <c r="Y11" s="84">
        <f t="shared" si="12"/>
        <v>12857142.857142856</v>
      </c>
      <c r="Z11" s="96">
        <f t="shared" si="13"/>
        <v>61428571.42857144</v>
      </c>
      <c r="AA11" s="59">
        <f t="shared" si="14"/>
        <v>102857142.85714287</v>
      </c>
    </row>
    <row r="12" spans="1:27" ht="15.6">
      <c r="A12" s="66" t="s">
        <v>48</v>
      </c>
      <c r="B12" s="60">
        <v>40000000</v>
      </c>
      <c r="C12" s="33"/>
      <c r="D12" s="33"/>
      <c r="E12" s="33">
        <v>25000000</v>
      </c>
      <c r="F12" s="33">
        <v>7000000</v>
      </c>
      <c r="G12" s="35">
        <v>7000000</v>
      </c>
      <c r="H12" s="33">
        <v>7000000</v>
      </c>
      <c r="L12" s="49">
        <v>4</v>
      </c>
      <c r="M12" s="84">
        <f t="shared" si="0"/>
        <v>25714285.714285713</v>
      </c>
      <c r="N12" s="84">
        <f t="shared" si="1"/>
        <v>97142857.142857164</v>
      </c>
      <c r="O12" s="84">
        <f t="shared" si="2"/>
        <v>19285714.285714287</v>
      </c>
      <c r="P12" s="96">
        <f t="shared" si="3"/>
        <v>72857142.857142866</v>
      </c>
      <c r="Q12" s="84">
        <f t="shared" si="4"/>
        <v>12857142.857142856</v>
      </c>
      <c r="R12" s="84">
        <f t="shared" si="5"/>
        <v>48571428.571428582</v>
      </c>
      <c r="S12" s="84">
        <f t="shared" si="6"/>
        <v>19285714.285714287</v>
      </c>
      <c r="T12" s="84">
        <f t="shared" si="7"/>
        <v>72857142.857142866</v>
      </c>
      <c r="U12" s="84">
        <f t="shared" si="8"/>
        <v>6428571.4285714282</v>
      </c>
      <c r="V12" s="96">
        <f t="shared" si="9"/>
        <v>24285714.285714291</v>
      </c>
      <c r="W12" s="84">
        <f t="shared" si="10"/>
        <v>6428571.4285714282</v>
      </c>
      <c r="X12" s="96">
        <f t="shared" si="11"/>
        <v>24285714.285714291</v>
      </c>
      <c r="Y12" s="84">
        <f t="shared" si="12"/>
        <v>12857142.857142856</v>
      </c>
      <c r="Z12" s="96">
        <f t="shared" si="13"/>
        <v>48571428.571428582</v>
      </c>
      <c r="AA12" s="59">
        <f t="shared" si="14"/>
        <v>102857142.85714287</v>
      </c>
    </row>
    <row r="13" spans="1:27" ht="15.6">
      <c r="L13" s="49">
        <v>5</v>
      </c>
      <c r="M13" s="84">
        <f t="shared" si="0"/>
        <v>25714285.714285713</v>
      </c>
      <c r="N13" s="84">
        <f t="shared" si="1"/>
        <v>71428571.428571448</v>
      </c>
      <c r="O13" s="84">
        <f t="shared" si="2"/>
        <v>19285714.285714287</v>
      </c>
      <c r="P13" s="96">
        <f t="shared" si="3"/>
        <v>53571428.571428582</v>
      </c>
      <c r="Q13" s="84">
        <f t="shared" si="4"/>
        <v>12857142.857142856</v>
      </c>
      <c r="R13" s="84">
        <f t="shared" si="5"/>
        <v>35714285.714285724</v>
      </c>
      <c r="S13" s="84">
        <f t="shared" si="6"/>
        <v>19285714.285714287</v>
      </c>
      <c r="T13" s="84">
        <f t="shared" si="7"/>
        <v>53571428.571428582</v>
      </c>
      <c r="U13" s="84">
        <f t="shared" si="8"/>
        <v>6428571.4285714282</v>
      </c>
      <c r="V13" s="96">
        <f t="shared" si="9"/>
        <v>17857142.857142862</v>
      </c>
      <c r="W13" s="84">
        <f t="shared" si="10"/>
        <v>6428571.4285714282</v>
      </c>
      <c r="X13" s="96">
        <f t="shared" si="11"/>
        <v>17857142.857142862</v>
      </c>
      <c r="Y13" s="84">
        <f t="shared" si="12"/>
        <v>12857142.857142856</v>
      </c>
      <c r="Z13" s="96">
        <f t="shared" si="13"/>
        <v>35714285.714285724</v>
      </c>
      <c r="AA13" s="59">
        <f t="shared" si="14"/>
        <v>102857142.85714287</v>
      </c>
    </row>
    <row r="14" spans="1:27" ht="16.2" thickBot="1">
      <c r="A14" s="143" t="s">
        <v>85</v>
      </c>
      <c r="B14" s="143"/>
      <c r="C14" s="143"/>
      <c r="D14" s="143"/>
      <c r="E14" s="143"/>
      <c r="F14" s="143"/>
      <c r="G14" s="143"/>
      <c r="H14" s="143"/>
      <c r="L14" s="49">
        <v>6</v>
      </c>
      <c r="M14" s="84">
        <f t="shared" si="0"/>
        <v>25714285.714285713</v>
      </c>
      <c r="N14" s="84">
        <f t="shared" si="1"/>
        <v>45714285.714285731</v>
      </c>
      <c r="O14" s="84">
        <f t="shared" si="2"/>
        <v>19285714.285714287</v>
      </c>
      <c r="P14" s="96">
        <f t="shared" si="3"/>
        <v>34285714.285714298</v>
      </c>
      <c r="Q14" s="84">
        <f t="shared" si="4"/>
        <v>12857142.857142856</v>
      </c>
      <c r="R14" s="84">
        <f t="shared" si="5"/>
        <v>22857142.857142866</v>
      </c>
      <c r="S14" s="84">
        <f t="shared" si="6"/>
        <v>19285714.285714287</v>
      </c>
      <c r="T14" s="84">
        <f t="shared" si="7"/>
        <v>34285714.285714298</v>
      </c>
      <c r="U14" s="84">
        <f t="shared" si="8"/>
        <v>6428571.4285714282</v>
      </c>
      <c r="V14" s="96">
        <f t="shared" si="9"/>
        <v>11428571.428571433</v>
      </c>
      <c r="W14" s="84">
        <f t="shared" si="10"/>
        <v>6428571.4285714282</v>
      </c>
      <c r="X14" s="96">
        <f t="shared" si="11"/>
        <v>11428571.428571433</v>
      </c>
      <c r="Y14" s="84">
        <f t="shared" si="12"/>
        <v>12857142.857142856</v>
      </c>
      <c r="Z14" s="96">
        <f t="shared" si="13"/>
        <v>22857142.857142866</v>
      </c>
      <c r="AA14" s="59">
        <f t="shared" si="14"/>
        <v>102857142.85714287</v>
      </c>
    </row>
    <row r="15" spans="1:27" ht="16.2" thickBot="1">
      <c r="A15" s="38" t="s">
        <v>9</v>
      </c>
      <c r="B15" s="13" t="s">
        <v>10</v>
      </c>
      <c r="C15" s="13" t="s">
        <v>11</v>
      </c>
      <c r="D15" s="13" t="s">
        <v>12</v>
      </c>
      <c r="E15" s="13" t="s">
        <v>13</v>
      </c>
      <c r="F15" s="13" t="s">
        <v>14</v>
      </c>
      <c r="G15" s="13" t="s">
        <v>15</v>
      </c>
      <c r="H15" s="13" t="s">
        <v>16</v>
      </c>
      <c r="L15" s="49">
        <v>7</v>
      </c>
      <c r="M15" s="84">
        <f t="shared" si="0"/>
        <v>25714285.714285713</v>
      </c>
      <c r="N15" s="84">
        <f t="shared" si="1"/>
        <v>20000000.000000019</v>
      </c>
      <c r="O15" s="84">
        <f t="shared" si="2"/>
        <v>19285714.285714287</v>
      </c>
      <c r="P15" s="96">
        <f t="shared" si="3"/>
        <v>15000000.000000011</v>
      </c>
      <c r="Q15" s="84">
        <f t="shared" si="4"/>
        <v>12857142.857142856</v>
      </c>
      <c r="R15" s="84">
        <f>R14-Q15</f>
        <v>10000000.000000009</v>
      </c>
      <c r="S15" s="84">
        <f t="shared" si="6"/>
        <v>19285714.285714287</v>
      </c>
      <c r="T15" s="84">
        <f t="shared" si="7"/>
        <v>15000000.000000011</v>
      </c>
      <c r="U15" s="84">
        <f t="shared" si="8"/>
        <v>6428571.4285714282</v>
      </c>
      <c r="V15" s="96">
        <f t="shared" si="9"/>
        <v>5000000.0000000047</v>
      </c>
      <c r="W15" s="84">
        <f t="shared" si="10"/>
        <v>6428571.4285714282</v>
      </c>
      <c r="X15" s="96">
        <f t="shared" si="11"/>
        <v>5000000.0000000047</v>
      </c>
      <c r="Y15" s="84">
        <f t="shared" si="12"/>
        <v>12857142.857142856</v>
      </c>
      <c r="Z15" s="96">
        <f t="shared" si="13"/>
        <v>10000000.000000009</v>
      </c>
      <c r="AA15" s="59">
        <f t="shared" si="14"/>
        <v>102857142.85714287</v>
      </c>
    </row>
    <row r="16" spans="1:27" ht="16.2" thickBot="1">
      <c r="A16" s="17" t="s">
        <v>17</v>
      </c>
      <c r="B16" s="36">
        <v>20000000</v>
      </c>
      <c r="C16" s="36">
        <v>30000000</v>
      </c>
      <c r="D16" s="36">
        <v>30000000</v>
      </c>
      <c r="E16" s="36">
        <v>40000000</v>
      </c>
      <c r="F16" s="36">
        <v>45000000</v>
      </c>
      <c r="G16" s="36">
        <v>45000000</v>
      </c>
      <c r="H16" s="36">
        <v>45000000</v>
      </c>
      <c r="J16" t="s">
        <v>97</v>
      </c>
    </row>
    <row r="17" spans="1:18" ht="18" thickBot="1">
      <c r="A17" s="17" t="s">
        <v>18</v>
      </c>
      <c r="B17" s="36">
        <v>30000000</v>
      </c>
      <c r="C17" s="36">
        <v>35000000</v>
      </c>
      <c r="D17" s="36">
        <v>40000000</v>
      </c>
      <c r="E17" s="36">
        <v>50000000</v>
      </c>
      <c r="F17" s="36">
        <v>50000000</v>
      </c>
      <c r="G17" s="36">
        <v>50000000</v>
      </c>
      <c r="H17" s="36">
        <v>50000000</v>
      </c>
      <c r="K17" s="63" t="s">
        <v>21</v>
      </c>
      <c r="L17" s="64">
        <v>1</v>
      </c>
      <c r="M17" s="64">
        <v>2</v>
      </c>
      <c r="N17" s="64">
        <v>3</v>
      </c>
      <c r="O17" s="64">
        <v>4</v>
      </c>
      <c r="P17" s="64">
        <v>5</v>
      </c>
      <c r="Q17" s="64">
        <v>6</v>
      </c>
      <c r="R17" s="64">
        <v>7</v>
      </c>
    </row>
    <row r="18" spans="1:18" ht="18" thickBot="1">
      <c r="A18" s="17" t="s">
        <v>19</v>
      </c>
      <c r="B18" s="36">
        <v>30000000</v>
      </c>
      <c r="C18" s="36">
        <v>30000000</v>
      </c>
      <c r="D18" s="36">
        <v>45000000</v>
      </c>
      <c r="E18" s="36">
        <v>45000000</v>
      </c>
      <c r="F18" s="36">
        <v>45000000</v>
      </c>
      <c r="G18" s="36">
        <v>45000000</v>
      </c>
      <c r="H18" s="36">
        <v>45000000</v>
      </c>
      <c r="K18" s="63" t="s">
        <v>97</v>
      </c>
      <c r="L18" s="119">
        <f>SUM(B16:B20)</f>
        <v>115000000</v>
      </c>
      <c r="M18" s="119">
        <f t="shared" ref="M18:R18" si="15">SUM(C16:C20)</f>
        <v>130000000</v>
      </c>
      <c r="N18" s="119">
        <f t="shared" si="15"/>
        <v>150000000</v>
      </c>
      <c r="O18" s="119">
        <f t="shared" si="15"/>
        <v>170000000</v>
      </c>
      <c r="P18" s="119">
        <f t="shared" si="15"/>
        <v>175000000</v>
      </c>
      <c r="Q18" s="119">
        <f t="shared" si="15"/>
        <v>175000000</v>
      </c>
      <c r="R18" s="119">
        <f t="shared" si="15"/>
        <v>175000000</v>
      </c>
    </row>
    <row r="19" spans="1:18" ht="16.2" thickBot="1">
      <c r="A19" s="17" t="s">
        <v>20</v>
      </c>
      <c r="B19" s="36">
        <v>15000000</v>
      </c>
      <c r="C19" s="36">
        <v>15000000</v>
      </c>
      <c r="D19" s="36">
        <v>15000000</v>
      </c>
      <c r="E19" s="36">
        <v>15000000</v>
      </c>
      <c r="F19" s="36">
        <v>15000000</v>
      </c>
      <c r="G19" s="36">
        <v>15000000</v>
      </c>
      <c r="H19" s="36">
        <v>15000000</v>
      </c>
    </row>
    <row r="20" spans="1:18" ht="16.2" thickBot="1">
      <c r="A20" s="17" t="s">
        <v>67</v>
      </c>
      <c r="B20" s="36">
        <v>20000000</v>
      </c>
      <c r="C20" s="36">
        <v>20000000</v>
      </c>
      <c r="D20" s="36">
        <v>20000000</v>
      </c>
      <c r="E20" s="36">
        <v>20000000</v>
      </c>
      <c r="F20" s="36">
        <v>20000000</v>
      </c>
      <c r="G20" s="36">
        <v>20000000</v>
      </c>
      <c r="H20" s="36">
        <v>20000000</v>
      </c>
    </row>
    <row r="22" spans="1:18">
      <c r="J22" t="s">
        <v>98</v>
      </c>
      <c r="K22" s="62" t="s">
        <v>28</v>
      </c>
      <c r="L22" s="62">
        <f>SUM(B39:B44)</f>
        <v>17000</v>
      </c>
    </row>
    <row r="23" spans="1:18" ht="15.6">
      <c r="A23" s="6"/>
      <c r="K23" s="62" t="s">
        <v>34</v>
      </c>
      <c r="L23" s="3"/>
    </row>
    <row r="24" spans="1:18" ht="18" thickBot="1">
      <c r="A24" s="144" t="s">
        <v>83</v>
      </c>
      <c r="B24" s="144"/>
      <c r="C24" s="144"/>
      <c r="D24" s="144"/>
      <c r="E24" s="144"/>
      <c r="F24" s="144"/>
      <c r="G24" s="144"/>
      <c r="H24" s="144"/>
      <c r="K24" s="61" t="s">
        <v>26</v>
      </c>
      <c r="L24" s="87">
        <f>SUM(B48:B49)</f>
        <v>14000</v>
      </c>
    </row>
    <row r="25" spans="1:18" ht="18" thickBot="1">
      <c r="A25" s="39" t="s">
        <v>21</v>
      </c>
      <c r="B25" s="40">
        <v>1</v>
      </c>
      <c r="C25" s="40">
        <v>2</v>
      </c>
      <c r="D25" s="40">
        <v>3</v>
      </c>
      <c r="E25" s="40">
        <v>4</v>
      </c>
      <c r="F25" s="40">
        <v>5</v>
      </c>
      <c r="G25" s="40">
        <v>6</v>
      </c>
      <c r="H25" s="40">
        <v>7</v>
      </c>
      <c r="K25" s="61" t="s">
        <v>27</v>
      </c>
      <c r="L25" s="87">
        <f>SUM(B51:B52)</f>
        <v>10000</v>
      </c>
    </row>
    <row r="26" spans="1:18" ht="18" thickBot="1">
      <c r="A26" s="41" t="s">
        <v>22</v>
      </c>
      <c r="B26" s="42">
        <v>1500</v>
      </c>
      <c r="C26" s="42">
        <v>2500</v>
      </c>
      <c r="D26" s="42">
        <v>3200</v>
      </c>
      <c r="E26" s="42">
        <v>4500</v>
      </c>
      <c r="F26" s="43">
        <v>5000</v>
      </c>
      <c r="G26" s="43">
        <v>5500</v>
      </c>
      <c r="H26" s="43">
        <f>G26*1.3</f>
        <v>7150</v>
      </c>
      <c r="K26" s="61" t="s">
        <v>86</v>
      </c>
      <c r="L26" s="87">
        <f>SUM(B54:B55)</f>
        <v>10000</v>
      </c>
    </row>
    <row r="27" spans="1:18" ht="18" thickBot="1">
      <c r="A27" s="41" t="s">
        <v>23</v>
      </c>
      <c r="B27" s="42">
        <v>2000</v>
      </c>
      <c r="C27" s="42">
        <v>3000</v>
      </c>
      <c r="D27" s="42">
        <v>4000</v>
      </c>
      <c r="E27" s="42">
        <f>D27*1.3</f>
        <v>5200</v>
      </c>
      <c r="F27" s="42">
        <v>5700</v>
      </c>
      <c r="G27" s="43">
        <v>6300</v>
      </c>
      <c r="H27" s="43">
        <f>G27*1.3</f>
        <v>8190</v>
      </c>
      <c r="K27" s="61" t="s">
        <v>87</v>
      </c>
      <c r="L27" s="87">
        <f>SUM(B57:B60)</f>
        <v>8000</v>
      </c>
    </row>
    <row r="28" spans="1:18" ht="18" thickBot="1">
      <c r="A28" s="41" t="s">
        <v>24</v>
      </c>
      <c r="B28" s="42">
        <v>1900</v>
      </c>
      <c r="C28" s="42">
        <v>2500</v>
      </c>
      <c r="D28" s="42">
        <v>4100</v>
      </c>
      <c r="E28" s="42">
        <f>D28*1.3</f>
        <v>5330</v>
      </c>
      <c r="F28" s="42">
        <f>E28*1.3</f>
        <v>6929</v>
      </c>
      <c r="G28" s="43">
        <f>F28*1.3</f>
        <v>9007.7000000000007</v>
      </c>
      <c r="H28" s="43">
        <f>G28*1.1</f>
        <v>9908.4700000000012</v>
      </c>
    </row>
    <row r="29" spans="1:18" ht="18" thickBot="1">
      <c r="A29" s="41" t="s">
        <v>25</v>
      </c>
      <c r="B29" s="42">
        <v>2000</v>
      </c>
      <c r="C29" s="42">
        <v>3000</v>
      </c>
      <c r="D29" s="42">
        <v>4000</v>
      </c>
      <c r="E29" s="42">
        <f>D29*1.3</f>
        <v>5200</v>
      </c>
      <c r="F29" s="42">
        <f>E29*1.3</f>
        <v>6760</v>
      </c>
      <c r="G29" s="43">
        <f>F29*1.3</f>
        <v>8788</v>
      </c>
      <c r="H29" s="43">
        <f>G29*1.1</f>
        <v>9666.8000000000011</v>
      </c>
      <c r="K29" s="61" t="s">
        <v>26</v>
      </c>
      <c r="L29" s="87">
        <f>$L$22+L24</f>
        <v>31000</v>
      </c>
    </row>
    <row r="30" spans="1:18">
      <c r="K30" s="61" t="s">
        <v>27</v>
      </c>
      <c r="L30" s="87">
        <f t="shared" ref="L30:L32" si="16">$L$22+L25</f>
        <v>27000</v>
      </c>
    </row>
    <row r="31" spans="1:18" ht="15.6">
      <c r="A31" s="126" t="s">
        <v>88</v>
      </c>
      <c r="B31" s="126"/>
      <c r="K31" s="61" t="s">
        <v>86</v>
      </c>
      <c r="L31" s="87">
        <f t="shared" si="16"/>
        <v>27000</v>
      </c>
    </row>
    <row r="32" spans="1:18" ht="15.6">
      <c r="A32" s="21" t="s">
        <v>26</v>
      </c>
      <c r="B32" s="22">
        <v>55000</v>
      </c>
      <c r="K32" s="61" t="s">
        <v>87</v>
      </c>
      <c r="L32" s="87">
        <f t="shared" si="16"/>
        <v>25000</v>
      </c>
    </row>
    <row r="33" spans="1:20" ht="15.6">
      <c r="A33" s="21" t="s">
        <v>27</v>
      </c>
      <c r="B33" s="22">
        <v>60000</v>
      </c>
    </row>
    <row r="34" spans="1:20" ht="15.6">
      <c r="A34" s="21" t="s">
        <v>86</v>
      </c>
      <c r="B34" s="22">
        <v>60000</v>
      </c>
      <c r="K34" s="5"/>
    </row>
    <row r="35" spans="1:20" ht="15.6">
      <c r="A35" s="21" t="s">
        <v>87</v>
      </c>
      <c r="B35" s="22">
        <v>45000</v>
      </c>
      <c r="J35" t="s">
        <v>99</v>
      </c>
      <c r="K35" s="110">
        <v>5000</v>
      </c>
    </row>
    <row r="36" spans="1:20" ht="15.6">
      <c r="A36" s="1"/>
      <c r="B36" s="1"/>
      <c r="C36" s="1"/>
      <c r="D36" s="1"/>
      <c r="J36" t="s">
        <v>101</v>
      </c>
      <c r="K36" s="120">
        <v>0.4</v>
      </c>
    </row>
    <row r="37" spans="1:20" ht="15.6">
      <c r="A37" s="125" t="s">
        <v>89</v>
      </c>
      <c r="B37" s="125"/>
      <c r="K37" s="61" t="s">
        <v>21</v>
      </c>
      <c r="L37" s="62">
        <v>1</v>
      </c>
      <c r="M37" s="62">
        <v>2</v>
      </c>
      <c r="N37" s="62">
        <v>3</v>
      </c>
      <c r="O37" s="62">
        <v>4</v>
      </c>
      <c r="P37" s="62">
        <v>5</v>
      </c>
      <c r="Q37" s="62">
        <v>6</v>
      </c>
      <c r="R37" s="62">
        <v>7</v>
      </c>
    </row>
    <row r="38" spans="1:20" ht="15.6">
      <c r="A38" s="126" t="s">
        <v>28</v>
      </c>
      <c r="B38" s="126"/>
      <c r="K38" s="61" t="s">
        <v>100</v>
      </c>
      <c r="L38" s="33">
        <f>SUM(B26:B29)</f>
        <v>7400</v>
      </c>
      <c r="M38" s="33">
        <f>SUM(C26:C29)</f>
        <v>11000</v>
      </c>
      <c r="N38" s="33">
        <f>SUM(D26:D29)</f>
        <v>15300</v>
      </c>
      <c r="O38" s="33">
        <f>SUM(E26:E29)</f>
        <v>20230</v>
      </c>
      <c r="P38" s="33">
        <f t="shared" ref="P38:R38" si="17">SUM(F26:F29)</f>
        <v>24389</v>
      </c>
      <c r="Q38" s="33">
        <f t="shared" si="17"/>
        <v>29595.7</v>
      </c>
      <c r="R38" s="33">
        <f t="shared" si="17"/>
        <v>34915.270000000004</v>
      </c>
    </row>
    <row r="39" spans="1:20" ht="15.6">
      <c r="A39" s="44" t="s">
        <v>29</v>
      </c>
      <c r="B39" s="45">
        <v>5000</v>
      </c>
      <c r="K39" s="61" t="s">
        <v>65</v>
      </c>
      <c r="L39" s="33">
        <f>L38*$K$36</f>
        <v>2960</v>
      </c>
      <c r="M39" s="33">
        <f t="shared" ref="M39:R39" si="18">M38*$K$36</f>
        <v>4400</v>
      </c>
      <c r="N39" s="33">
        <f t="shared" si="18"/>
        <v>6120</v>
      </c>
      <c r="O39" s="33">
        <f t="shared" si="18"/>
        <v>8092</v>
      </c>
      <c r="P39" s="33">
        <f t="shared" si="18"/>
        <v>9755.6</v>
      </c>
      <c r="Q39" s="33">
        <f t="shared" si="18"/>
        <v>11838.28</v>
      </c>
      <c r="R39" s="33">
        <f t="shared" si="18"/>
        <v>13966.108000000002</v>
      </c>
    </row>
    <row r="40" spans="1:20" ht="15.6">
      <c r="A40" s="44" t="s">
        <v>30</v>
      </c>
      <c r="B40" s="45">
        <v>2000</v>
      </c>
      <c r="K40" s="61" t="s">
        <v>48</v>
      </c>
      <c r="L40" s="33">
        <f>L39*$K$35</f>
        <v>14800000</v>
      </c>
      <c r="M40" s="33">
        <f t="shared" ref="M40:R40" si="19">M39*$K$35</f>
        <v>22000000</v>
      </c>
      <c r="N40" s="33">
        <f t="shared" si="19"/>
        <v>30600000</v>
      </c>
      <c r="O40" s="33">
        <f t="shared" si="19"/>
        <v>40460000</v>
      </c>
      <c r="P40" s="33">
        <f t="shared" si="19"/>
        <v>48778000</v>
      </c>
      <c r="Q40" s="33">
        <f t="shared" si="19"/>
        <v>59191400</v>
      </c>
      <c r="R40" s="33">
        <f t="shared" si="19"/>
        <v>69830540.000000015</v>
      </c>
    </row>
    <row r="41" spans="1:20" ht="15.6">
      <c r="A41" s="44" t="s">
        <v>71</v>
      </c>
      <c r="B41" s="45">
        <v>2000</v>
      </c>
    </row>
    <row r="42" spans="1:20" ht="18">
      <c r="A42" s="44" t="s">
        <v>31</v>
      </c>
      <c r="B42" s="45">
        <v>4500</v>
      </c>
      <c r="J42" s="104"/>
    </row>
    <row r="43" spans="1:20" ht="15.6">
      <c r="A43" s="44" t="s">
        <v>32</v>
      </c>
      <c r="B43" s="45">
        <v>2000</v>
      </c>
      <c r="K43" s="145" t="s">
        <v>105</v>
      </c>
      <c r="L43" s="145"/>
      <c r="M43" s="145"/>
      <c r="N43" s="145"/>
      <c r="O43" s="145"/>
      <c r="P43" s="145"/>
      <c r="Q43" s="145"/>
      <c r="R43" s="145"/>
      <c r="S43" s="145"/>
    </row>
    <row r="44" spans="1:20" ht="19.95" customHeight="1">
      <c r="A44" s="44" t="s">
        <v>33</v>
      </c>
      <c r="B44" s="45">
        <v>1500</v>
      </c>
      <c r="J44" t="s">
        <v>104</v>
      </c>
      <c r="K44" s="74" t="s">
        <v>55</v>
      </c>
      <c r="L44" s="73">
        <f>N44/100</f>
        <v>0.15</v>
      </c>
      <c r="N44">
        <v>15</v>
      </c>
      <c r="T44" s="121">
        <v>1</v>
      </c>
    </row>
    <row r="45" spans="1:20" ht="19.95" customHeight="1">
      <c r="A45" s="46"/>
      <c r="B45" s="46"/>
      <c r="K45" s="74" t="s">
        <v>54</v>
      </c>
      <c r="L45" s="73">
        <f>N45/100</f>
        <v>0.2</v>
      </c>
      <c r="N45">
        <v>20</v>
      </c>
    </row>
    <row r="46" spans="1:20" ht="17.399999999999999">
      <c r="A46" s="127" t="s">
        <v>34</v>
      </c>
      <c r="B46" s="127"/>
      <c r="K46" s="75" t="s">
        <v>21</v>
      </c>
      <c r="L46" s="78">
        <v>0</v>
      </c>
      <c r="M46" s="79">
        <v>1</v>
      </c>
      <c r="N46" s="79">
        <v>2</v>
      </c>
      <c r="O46" s="79">
        <v>3</v>
      </c>
      <c r="P46" s="79">
        <v>4</v>
      </c>
      <c r="Q46" s="79">
        <v>5</v>
      </c>
      <c r="R46" s="79">
        <v>6</v>
      </c>
      <c r="S46" s="79">
        <v>7</v>
      </c>
    </row>
    <row r="47" spans="1:20" ht="17.399999999999999">
      <c r="A47" s="47" t="s">
        <v>26</v>
      </c>
      <c r="B47" s="48"/>
      <c r="K47" s="76" t="s">
        <v>56</v>
      </c>
      <c r="L47" s="84">
        <f>SUM(B3:B9)</f>
        <v>800000000</v>
      </c>
      <c r="M47" s="84"/>
      <c r="N47" s="84"/>
      <c r="O47" s="84"/>
      <c r="P47" s="84"/>
      <c r="Q47" s="84"/>
      <c r="R47" s="84"/>
      <c r="S47" s="84"/>
    </row>
    <row r="48" spans="1:20" ht="17.399999999999999">
      <c r="A48" s="44" t="s">
        <v>35</v>
      </c>
      <c r="B48" s="45">
        <v>9000</v>
      </c>
      <c r="K48" s="76" t="s">
        <v>47</v>
      </c>
      <c r="L48" s="84"/>
      <c r="M48" s="84">
        <f>B12</f>
        <v>40000000</v>
      </c>
      <c r="N48" s="84">
        <f t="shared" ref="N48:S48" si="20">C12</f>
        <v>0</v>
      </c>
      <c r="O48" s="84">
        <f t="shared" si="20"/>
        <v>0</v>
      </c>
      <c r="P48" s="84">
        <f t="shared" si="20"/>
        <v>25000000</v>
      </c>
      <c r="Q48" s="84">
        <f t="shared" si="20"/>
        <v>7000000</v>
      </c>
      <c r="R48" s="84">
        <f t="shared" si="20"/>
        <v>7000000</v>
      </c>
      <c r="S48" s="84">
        <f t="shared" si="20"/>
        <v>7000000</v>
      </c>
    </row>
    <row r="49" spans="1:19" ht="17.399999999999999">
      <c r="A49" s="44" t="s">
        <v>36</v>
      </c>
      <c r="B49" s="45">
        <v>5000</v>
      </c>
      <c r="K49" s="76" t="s">
        <v>57</v>
      </c>
      <c r="L49" s="84"/>
      <c r="M49" s="84">
        <f>B26*$B$32+B27*$B$33+B28*$B$34+B29*$B$35</f>
        <v>406500000</v>
      </c>
      <c r="N49" s="84">
        <f t="shared" ref="N49:S49" si="21">C26*$B$32+C27*$B$33+C28*$B$34+C29*$B$35</f>
        <v>602500000</v>
      </c>
      <c r="O49" s="84">
        <f t="shared" si="21"/>
        <v>842000000</v>
      </c>
      <c r="P49" s="84">
        <f t="shared" si="21"/>
        <v>1113300000</v>
      </c>
      <c r="Q49" s="84">
        <f t="shared" si="21"/>
        <v>1336940000</v>
      </c>
      <c r="R49" s="84">
        <f t="shared" si="21"/>
        <v>1616422000</v>
      </c>
      <c r="S49" s="84">
        <f t="shared" si="21"/>
        <v>1914164200</v>
      </c>
    </row>
    <row r="50" spans="1:19" ht="17.399999999999999">
      <c r="A50" s="11" t="s">
        <v>27</v>
      </c>
      <c r="B50" s="2"/>
      <c r="K50" s="76" t="s">
        <v>58</v>
      </c>
      <c r="L50" s="84"/>
      <c r="M50" s="84">
        <f>L40+L18+(B26*$L$29+B27*$L$30+B28*$L$31+B29*$L$32)</f>
        <v>331600000</v>
      </c>
      <c r="N50" s="84">
        <f t="shared" ref="N50:S50" si="22">M40+M18+(C26*$L$29+C27*$L$30+C28*$L$31+C29*$L$32)</f>
        <v>453000000</v>
      </c>
      <c r="O50" s="84">
        <f t="shared" si="22"/>
        <v>598500000</v>
      </c>
      <c r="P50" s="84">
        <f t="shared" si="22"/>
        <v>764270000</v>
      </c>
      <c r="Q50" s="84">
        <f t="shared" si="22"/>
        <v>888761000</v>
      </c>
      <c r="R50" s="84">
        <f t="shared" si="22"/>
        <v>1037699300</v>
      </c>
      <c r="S50" s="84">
        <f t="shared" si="22"/>
        <v>1196809230</v>
      </c>
    </row>
    <row r="51" spans="1:19" ht="17.399999999999999">
      <c r="A51" s="44" t="s">
        <v>37</v>
      </c>
      <c r="B51" s="45">
        <v>7000</v>
      </c>
      <c r="K51" s="76" t="s">
        <v>59</v>
      </c>
      <c r="L51" s="84"/>
      <c r="M51" s="84">
        <f>AA9</f>
        <v>102857142.85714287</v>
      </c>
      <c r="N51" s="84">
        <f>AA10</f>
        <v>102857142.85714287</v>
      </c>
      <c r="O51" s="84">
        <f>AA11</f>
        <v>102857142.85714287</v>
      </c>
      <c r="P51" s="84">
        <f>AA12</f>
        <v>102857142.85714287</v>
      </c>
      <c r="Q51" s="84">
        <f>AA13</f>
        <v>102857142.85714287</v>
      </c>
      <c r="R51" s="84">
        <f>AA14</f>
        <v>102857142.85714287</v>
      </c>
      <c r="S51" s="84">
        <f>AA15</f>
        <v>102857142.85714287</v>
      </c>
    </row>
    <row r="52" spans="1:19" ht="17.399999999999999">
      <c r="A52" s="44" t="s">
        <v>38</v>
      </c>
      <c r="B52" s="45">
        <v>3000</v>
      </c>
      <c r="K52" s="76" t="s">
        <v>60</v>
      </c>
      <c r="L52" s="84"/>
      <c r="M52" s="84">
        <f>M49-M50-M51</f>
        <v>-27957142.857142866</v>
      </c>
      <c r="N52" s="84">
        <f t="shared" ref="N52:S52" si="23">N49-N50-N51</f>
        <v>46642857.142857134</v>
      </c>
      <c r="O52" s="84">
        <f t="shared" si="23"/>
        <v>140642857.14285713</v>
      </c>
      <c r="P52" s="84">
        <f t="shared" si="23"/>
        <v>246172857.14285713</v>
      </c>
      <c r="Q52" s="84">
        <f t="shared" si="23"/>
        <v>345321857.14285713</v>
      </c>
      <c r="R52" s="84">
        <f t="shared" si="23"/>
        <v>475865557.14285713</v>
      </c>
      <c r="S52" s="84">
        <f t="shared" si="23"/>
        <v>614497827.14285707</v>
      </c>
    </row>
    <row r="53" spans="1:19" ht="17.399999999999999">
      <c r="A53" s="11" t="s">
        <v>86</v>
      </c>
      <c r="B53" s="2"/>
      <c r="K53" s="76" t="s">
        <v>61</v>
      </c>
      <c r="L53" s="84"/>
      <c r="M53" s="84">
        <f>IF(M52&gt;0,M52*$L$44,0)</f>
        <v>0</v>
      </c>
      <c r="N53" s="84">
        <f t="shared" ref="N53:S53" si="24">IF(N52&gt;0,N52*$L$44,0)</f>
        <v>6996428.57142857</v>
      </c>
      <c r="O53" s="84">
        <f t="shared" si="24"/>
        <v>21096428.571428571</v>
      </c>
      <c r="P53" s="84">
        <f t="shared" si="24"/>
        <v>36925928.571428567</v>
      </c>
      <c r="Q53" s="84">
        <f t="shared" si="24"/>
        <v>51798278.571428567</v>
      </c>
      <c r="R53" s="84">
        <f t="shared" si="24"/>
        <v>71379833.571428567</v>
      </c>
      <c r="S53" s="84">
        <f t="shared" si="24"/>
        <v>92174674.071428552</v>
      </c>
    </row>
    <row r="54" spans="1:19" ht="17.399999999999999">
      <c r="A54" s="44" t="s">
        <v>40</v>
      </c>
      <c r="B54" s="45">
        <v>8000</v>
      </c>
      <c r="K54" s="76" t="s">
        <v>62</v>
      </c>
      <c r="L54" s="84"/>
      <c r="M54" s="84">
        <f>M52-M53</f>
        <v>-27957142.857142866</v>
      </c>
      <c r="N54" s="84">
        <f t="shared" ref="N54:S54" si="25">N52-N53</f>
        <v>39646428.571428567</v>
      </c>
      <c r="O54" s="84">
        <f t="shared" si="25"/>
        <v>119546428.57142857</v>
      </c>
      <c r="P54" s="84">
        <f t="shared" si="25"/>
        <v>209246928.57142857</v>
      </c>
      <c r="Q54" s="84">
        <f t="shared" si="25"/>
        <v>293523578.57142854</v>
      </c>
      <c r="R54" s="84">
        <f t="shared" si="25"/>
        <v>404485723.57142854</v>
      </c>
      <c r="S54" s="84">
        <f t="shared" si="25"/>
        <v>522323153.07142854</v>
      </c>
    </row>
    <row r="55" spans="1:19" ht="17.399999999999999">
      <c r="A55" s="44" t="s">
        <v>41</v>
      </c>
      <c r="B55" s="45">
        <v>2000</v>
      </c>
      <c r="K55" s="76" t="s">
        <v>63</v>
      </c>
      <c r="L55" s="84"/>
      <c r="M55" s="84"/>
      <c r="N55" s="84"/>
      <c r="O55" s="84"/>
      <c r="P55" s="84"/>
      <c r="Q55" s="84"/>
      <c r="R55" s="84"/>
      <c r="S55" s="84">
        <f>SUM(M48:S48)</f>
        <v>86000000</v>
      </c>
    </row>
    <row r="56" spans="1:19" ht="17.399999999999999">
      <c r="A56" s="11" t="s">
        <v>42</v>
      </c>
      <c r="B56" s="2"/>
      <c r="K56" s="76" t="s">
        <v>64</v>
      </c>
      <c r="L56" s="84"/>
      <c r="M56" s="84"/>
      <c r="N56" s="84"/>
      <c r="O56" s="84"/>
      <c r="P56" s="84"/>
      <c r="Q56" s="84"/>
      <c r="R56" s="84"/>
      <c r="S56" s="84">
        <f>L47*0.1</f>
        <v>80000000</v>
      </c>
    </row>
    <row r="57" spans="1:19" ht="17.399999999999999">
      <c r="A57" s="44" t="s">
        <v>43</v>
      </c>
      <c r="B57" s="45">
        <v>3000</v>
      </c>
      <c r="K57" s="76" t="s">
        <v>66</v>
      </c>
      <c r="L57" s="84">
        <f>L54+L55+L56+L51-L47-L48</f>
        <v>-800000000</v>
      </c>
      <c r="M57" s="84">
        <f t="shared" ref="M57:S57" si="26">M54+M55+M56+M51-M47-M48</f>
        <v>34900000</v>
      </c>
      <c r="N57" s="84">
        <f t="shared" si="26"/>
        <v>142503571.42857143</v>
      </c>
      <c r="O57" s="84">
        <f t="shared" si="26"/>
        <v>222403571.42857143</v>
      </c>
      <c r="P57" s="84">
        <f t="shared" si="26"/>
        <v>287104071.42857146</v>
      </c>
      <c r="Q57" s="84">
        <f t="shared" si="26"/>
        <v>389380721.4285714</v>
      </c>
      <c r="R57" s="84">
        <f t="shared" si="26"/>
        <v>500342866.4285714</v>
      </c>
      <c r="S57" s="84">
        <f t="shared" si="26"/>
        <v>784180295.92857146</v>
      </c>
    </row>
    <row r="58" spans="1:19" ht="18">
      <c r="A58" s="44" t="s">
        <v>44</v>
      </c>
      <c r="B58" s="45">
        <v>1000</v>
      </c>
      <c r="J58" s="105" t="s">
        <v>117</v>
      </c>
      <c r="K58" s="77" t="s">
        <v>102</v>
      </c>
      <c r="L58" s="80">
        <f>NPV(L45,M57:S57)+L57</f>
        <v>138104263.14519215</v>
      </c>
      <c r="M58" s="10"/>
      <c r="N58" s="10"/>
      <c r="O58" s="10"/>
      <c r="P58" s="10"/>
      <c r="Q58" s="10"/>
      <c r="R58" s="10"/>
      <c r="S58" s="10"/>
    </row>
    <row r="59" spans="1:19" ht="17.399999999999999">
      <c r="A59" s="44" t="s">
        <v>45</v>
      </c>
      <c r="B59" s="45">
        <v>2000</v>
      </c>
      <c r="K59" s="77" t="s">
        <v>103</v>
      </c>
      <c r="L59" s="81">
        <f>IRR(L57:S57)</f>
        <v>0.24110357921082826</v>
      </c>
      <c r="M59" s="10"/>
      <c r="N59" s="10"/>
      <c r="O59" s="10"/>
      <c r="P59" s="10"/>
      <c r="Q59" s="10"/>
      <c r="R59" s="10"/>
      <c r="S59" s="10"/>
    </row>
    <row r="60" spans="1:19" ht="15.6">
      <c r="A60" s="44" t="s">
        <v>46</v>
      </c>
      <c r="B60" s="45">
        <v>2000</v>
      </c>
    </row>
    <row r="62" spans="1:19" ht="23.4">
      <c r="K62" s="102" t="s">
        <v>114</v>
      </c>
      <c r="L62" s="122" t="str">
        <f>IF(AND(L58&gt;0,L59&gt;L45),"Dự án khả thi - Nên tiếp tục đầu tư", "Dự án không khả thi - Nên dừng lại hoặc xem xét lại")</f>
        <v>Dự án khả thi - Nên tiếp tục đầu tư</v>
      </c>
      <c r="M62" s="122"/>
      <c r="N62" s="122"/>
      <c r="O62" s="123"/>
    </row>
  </sheetData>
  <mergeCells count="32">
    <mergeCell ref="L3:AA3"/>
    <mergeCell ref="M6:N6"/>
    <mergeCell ref="O6:P6"/>
    <mergeCell ref="Q6:R6"/>
    <mergeCell ref="S6:T6"/>
    <mergeCell ref="U6:V6"/>
    <mergeCell ref="W6:X6"/>
    <mergeCell ref="Q4:R4"/>
    <mergeCell ref="Q5:R5"/>
    <mergeCell ref="AA6:AA7"/>
    <mergeCell ref="S5:T5"/>
    <mergeCell ref="U5:V5"/>
    <mergeCell ref="W5:X5"/>
    <mergeCell ref="Y5:Z5"/>
    <mergeCell ref="S4:T4"/>
    <mergeCell ref="U4:V4"/>
    <mergeCell ref="W4:X4"/>
    <mergeCell ref="Y4:Z4"/>
    <mergeCell ref="AA4:AA5"/>
    <mergeCell ref="Y6:Z6"/>
    <mergeCell ref="A46:B46"/>
    <mergeCell ref="M4:N4"/>
    <mergeCell ref="M5:N5"/>
    <mergeCell ref="O4:P4"/>
    <mergeCell ref="O5:P5"/>
    <mergeCell ref="L6:L7"/>
    <mergeCell ref="A14:H14"/>
    <mergeCell ref="A24:H24"/>
    <mergeCell ref="A31:B31"/>
    <mergeCell ref="A37:B37"/>
    <mergeCell ref="A38:B38"/>
    <mergeCell ref="K43:S43"/>
  </mergeCells>
  <conditionalFormatting sqref="L58">
    <cfRule type="cellIs" dxfId="2" priority="1" operator="lessThan">
      <formula>0</formula>
    </cfRule>
    <cfRule type="cellIs" dxfId="1" priority="2" stopIfTrue="1" operator="lessThan">
      <formula>0</formula>
    </cfRule>
  </conditionalFormatting>
  <conditionalFormatting sqref="L62:N62">
    <cfRule type="cellIs" dxfId="0" priority="3" operator="greaterThan">
      <formula>$L$58&gt;0</formula>
    </cfRule>
  </conditionalFormatting>
  <pageMargins left="0.7" right="0.7" top="0.75" bottom="0.75" header="0.3" footer="0.3"/>
  <ignoredErrors>
    <ignoredError sqref="O9:O13 Q9:Q13 S9:S15 U9:U15 W9:W13 Y9:Y13 O14:O15 Q14:Q15 W14:Y15" formula="1"/>
    <ignoredError sqref="L38:N38" formulaRange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3" name="Scroll Bar 7">
              <controlPr defaultSize="0" autoPict="0">
                <anchor moveWithCells="1">
                  <from>
                    <xdr:col>11</xdr:col>
                    <xdr:colOff>1158240</xdr:colOff>
                    <xdr:row>43</xdr:row>
                    <xdr:rowOff>15240</xdr:rowOff>
                  </from>
                  <to>
                    <xdr:col>14</xdr:col>
                    <xdr:colOff>60960</xdr:colOff>
                    <xdr:row>43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4" name="Scroll Bar 8">
              <controlPr defaultSize="0" autoPict="0">
                <anchor moveWithCells="1">
                  <from>
                    <xdr:col>12</xdr:col>
                    <xdr:colOff>7620</xdr:colOff>
                    <xdr:row>44</xdr:row>
                    <xdr:rowOff>15240</xdr:rowOff>
                  </from>
                  <to>
                    <xdr:col>14</xdr:col>
                    <xdr:colOff>76200</xdr:colOff>
                    <xdr:row>44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6779-8AA9-4F75-B14A-1334A62EE39C}">
  <sheetPr codeName="Trang_tính3"/>
  <dimension ref="A1:G39"/>
  <sheetViews>
    <sheetView showGridLines="0" topLeftCell="A3" workbookViewId="0">
      <selection activeCell="E6" sqref="E6"/>
    </sheetView>
  </sheetViews>
  <sheetFormatPr defaultRowHeight="14.4" outlineLevelRow="1"/>
  <cols>
    <col min="1" max="1" width="2.33203125" customWidth="1"/>
    <col min="2" max="2" width="16.21875" bestFit="1" customWidth="1"/>
    <col min="3" max="3" width="29.109375" bestFit="1" customWidth="1"/>
    <col min="4" max="4" width="12.5546875" bestFit="1" customWidth="1"/>
    <col min="5" max="5" width="13.77734375" bestFit="1" customWidth="1"/>
    <col min="6" max="6" width="10.109375" bestFit="1" customWidth="1"/>
    <col min="7" max="7" width="10" bestFit="1" customWidth="1"/>
  </cols>
  <sheetData>
    <row r="1" spans="1:5">
      <c r="A1" s="110" t="s">
        <v>120</v>
      </c>
    </row>
    <row r="2" spans="1:5">
      <c r="A2" s="110" t="s">
        <v>121</v>
      </c>
    </row>
    <row r="3" spans="1:5">
      <c r="A3" s="110" t="s">
        <v>122</v>
      </c>
    </row>
    <row r="4" spans="1:5">
      <c r="A4" s="110" t="s">
        <v>123</v>
      </c>
    </row>
    <row r="5" spans="1:5">
      <c r="A5" s="110" t="s">
        <v>124</v>
      </c>
    </row>
    <row r="6" spans="1:5" outlineLevel="1">
      <c r="A6" s="110"/>
      <c r="B6" t="s">
        <v>125</v>
      </c>
    </row>
    <row r="7" spans="1:5" outlineLevel="1">
      <c r="A7" s="110"/>
      <c r="B7" t="s">
        <v>126</v>
      </c>
    </row>
    <row r="8" spans="1:5" outlineLevel="1">
      <c r="A8" s="110"/>
      <c r="B8" t="s">
        <v>127</v>
      </c>
    </row>
    <row r="9" spans="1:5">
      <c r="A9" s="110" t="s">
        <v>128</v>
      </c>
    </row>
    <row r="10" spans="1:5" outlineLevel="1">
      <c r="B10" t="s">
        <v>129</v>
      </c>
    </row>
    <row r="11" spans="1:5" outlineLevel="1">
      <c r="B11" t="s">
        <v>130</v>
      </c>
    </row>
    <row r="14" spans="1:5" ht="15" thickBot="1">
      <c r="A14" t="s">
        <v>131</v>
      </c>
    </row>
    <row r="15" spans="1:5" ht="15" thickBot="1">
      <c r="B15" s="112" t="s">
        <v>132</v>
      </c>
      <c r="C15" s="112" t="s">
        <v>133</v>
      </c>
      <c r="D15" s="112" t="s">
        <v>134</v>
      </c>
      <c r="E15" s="112" t="s">
        <v>135</v>
      </c>
    </row>
    <row r="16" spans="1:5" ht="15" thickBot="1">
      <c r="B16" s="111" t="s">
        <v>143</v>
      </c>
      <c r="C16" s="111" t="s">
        <v>144</v>
      </c>
      <c r="D16" s="114">
        <v>507256000</v>
      </c>
      <c r="E16" s="114">
        <v>507256000</v>
      </c>
    </row>
    <row r="19" spans="1:7" ht="15" thickBot="1">
      <c r="A19" t="s">
        <v>136</v>
      </c>
    </row>
    <row r="20" spans="1:7" ht="15" thickBot="1">
      <c r="B20" s="112" t="s">
        <v>132</v>
      </c>
      <c r="C20" s="112" t="s">
        <v>133</v>
      </c>
      <c r="D20" s="112" t="s">
        <v>134</v>
      </c>
      <c r="E20" s="112" t="s">
        <v>135</v>
      </c>
      <c r="F20" s="112" t="s">
        <v>137</v>
      </c>
    </row>
    <row r="21" spans="1:7">
      <c r="B21" s="117" t="s">
        <v>178</v>
      </c>
      <c r="C21" s="116"/>
      <c r="D21" s="116"/>
      <c r="E21" s="116"/>
      <c r="F21" s="116"/>
    </row>
    <row r="22" spans="1:7" outlineLevel="1">
      <c r="B22" s="113" t="s">
        <v>145</v>
      </c>
      <c r="C22" s="113" t="s">
        <v>146</v>
      </c>
      <c r="D22" s="113">
        <v>3000</v>
      </c>
      <c r="E22" s="113">
        <v>3000</v>
      </c>
      <c r="F22" s="113" t="s">
        <v>137</v>
      </c>
    </row>
    <row r="23" spans="1:7" outlineLevel="1">
      <c r="B23" s="113" t="s">
        <v>147</v>
      </c>
      <c r="C23" s="113" t="s">
        <v>148</v>
      </c>
      <c r="D23" s="113">
        <v>5090</v>
      </c>
      <c r="E23" s="113">
        <v>5090</v>
      </c>
      <c r="F23" s="113" t="s">
        <v>137</v>
      </c>
    </row>
    <row r="24" spans="1:7" outlineLevel="1">
      <c r="B24" s="113" t="s">
        <v>149</v>
      </c>
      <c r="C24" s="113" t="s">
        <v>150</v>
      </c>
      <c r="D24" s="113">
        <v>5000</v>
      </c>
      <c r="E24" s="113">
        <v>5000</v>
      </c>
      <c r="F24" s="113" t="s">
        <v>137</v>
      </c>
    </row>
    <row r="25" spans="1:7" ht="15" outlineLevel="1" thickBot="1">
      <c r="B25" s="111" t="s">
        <v>151</v>
      </c>
      <c r="C25" s="111" t="s">
        <v>152</v>
      </c>
      <c r="D25" s="111">
        <v>7137</v>
      </c>
      <c r="E25" s="111">
        <v>7137</v>
      </c>
      <c r="F25" s="111" t="s">
        <v>137</v>
      </c>
    </row>
    <row r="29" spans="1:7" ht="15" thickBot="1">
      <c r="A29" t="s">
        <v>138</v>
      </c>
    </row>
    <row r="30" spans="1:7" ht="15" thickBot="1">
      <c r="B30" s="112" t="s">
        <v>132</v>
      </c>
      <c r="C30" s="112" t="s">
        <v>133</v>
      </c>
      <c r="D30" s="112" t="s">
        <v>139</v>
      </c>
      <c r="E30" s="112" t="s">
        <v>140</v>
      </c>
      <c r="F30" s="112" t="s">
        <v>141</v>
      </c>
      <c r="G30" s="112" t="s">
        <v>142</v>
      </c>
    </row>
    <row r="31" spans="1:7">
      <c r="B31" s="113" t="s">
        <v>153</v>
      </c>
      <c r="C31" s="113" t="s">
        <v>154</v>
      </c>
      <c r="D31" s="115">
        <v>343859000</v>
      </c>
      <c r="E31" s="113" t="s">
        <v>155</v>
      </c>
      <c r="F31" s="113" t="s">
        <v>156</v>
      </c>
      <c r="G31" s="113">
        <v>106141000</v>
      </c>
    </row>
    <row r="32" spans="1:7">
      <c r="B32" s="113" t="s">
        <v>157</v>
      </c>
      <c r="C32" s="113" t="s">
        <v>158</v>
      </c>
      <c r="D32" s="115">
        <v>199996000</v>
      </c>
      <c r="E32" s="113" t="s">
        <v>159</v>
      </c>
      <c r="F32" s="113" t="s">
        <v>156</v>
      </c>
      <c r="G32" s="113">
        <v>4000</v>
      </c>
    </row>
    <row r="33" spans="2:7">
      <c r="B33" s="113" t="s">
        <v>160</v>
      </c>
      <c r="C33" s="113" t="s">
        <v>161</v>
      </c>
      <c r="D33" s="115">
        <v>57096000</v>
      </c>
      <c r="E33" s="113" t="s">
        <v>162</v>
      </c>
      <c r="F33" s="113" t="s">
        <v>156</v>
      </c>
      <c r="G33" s="113">
        <v>92904000</v>
      </c>
    </row>
    <row r="34" spans="2:7">
      <c r="B34" s="113" t="s">
        <v>163</v>
      </c>
      <c r="C34" s="113" t="s">
        <v>164</v>
      </c>
      <c r="D34" s="113">
        <v>3000</v>
      </c>
      <c r="E34" s="113" t="s">
        <v>165</v>
      </c>
      <c r="F34" s="113" t="s">
        <v>166</v>
      </c>
      <c r="G34" s="113">
        <v>0</v>
      </c>
    </row>
    <row r="35" spans="2:7">
      <c r="B35" s="113" t="s">
        <v>167</v>
      </c>
      <c r="C35" s="113" t="s">
        <v>168</v>
      </c>
      <c r="D35" s="113">
        <v>8090</v>
      </c>
      <c r="E35" s="113" t="s">
        <v>169</v>
      </c>
      <c r="F35" s="113" t="s">
        <v>156</v>
      </c>
      <c r="G35" s="113">
        <v>0.8000000000001819</v>
      </c>
    </row>
    <row r="36" spans="2:7">
      <c r="B36" s="113" t="s">
        <v>170</v>
      </c>
      <c r="C36" s="113" t="s">
        <v>171</v>
      </c>
      <c r="D36" s="113">
        <v>5000</v>
      </c>
      <c r="E36" s="113" t="s">
        <v>172</v>
      </c>
      <c r="F36" s="113" t="s">
        <v>166</v>
      </c>
      <c r="G36" s="113">
        <v>0</v>
      </c>
    </row>
    <row r="37" spans="2:7">
      <c r="B37" s="113" t="s">
        <v>173</v>
      </c>
      <c r="C37" s="113" t="s">
        <v>174</v>
      </c>
      <c r="D37" s="113">
        <v>7137</v>
      </c>
      <c r="E37" s="113" t="s">
        <v>175</v>
      </c>
      <c r="F37" s="113" t="s">
        <v>156</v>
      </c>
      <c r="G37" s="113">
        <v>2976.5</v>
      </c>
    </row>
    <row r="38" spans="2:7">
      <c r="B38" s="113" t="s">
        <v>173</v>
      </c>
      <c r="C38" s="113" t="s">
        <v>174</v>
      </c>
      <c r="D38" s="113">
        <v>7137</v>
      </c>
      <c r="E38" s="113" t="s">
        <v>176</v>
      </c>
      <c r="F38" s="113" t="s">
        <v>156</v>
      </c>
      <c r="G38" s="113">
        <v>1068.9000000000005</v>
      </c>
    </row>
    <row r="39" spans="2:7" ht="15" thickBot="1">
      <c r="B39" s="111" t="s">
        <v>177</v>
      </c>
      <c r="C39" s="111"/>
      <c r="D39" s="111"/>
      <c r="E39" s="111"/>
      <c r="F39" s="111"/>
      <c r="G39" s="1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014C-7830-4EB5-9042-8230CFABC19C}">
  <sheetPr codeName="Trang_tính4"/>
  <dimension ref="A1:J31"/>
  <sheetViews>
    <sheetView topLeftCell="C3" zoomScale="85" zoomScaleNormal="85" workbookViewId="0">
      <selection activeCell="K23" sqref="K23"/>
    </sheetView>
  </sheetViews>
  <sheetFormatPr defaultRowHeight="14.4"/>
  <cols>
    <col min="1" max="1" width="19.21875" customWidth="1"/>
    <col min="2" max="2" width="22.5546875" customWidth="1"/>
    <col min="3" max="3" width="38.21875" customWidth="1"/>
    <col min="4" max="4" width="19.5546875" customWidth="1"/>
    <col min="5" max="5" width="10.33203125" bestFit="1" customWidth="1"/>
    <col min="6" max="6" width="21.109375" customWidth="1"/>
    <col min="7" max="7" width="16.6640625" customWidth="1"/>
    <col min="8" max="8" width="13" customWidth="1"/>
    <col min="9" max="9" width="13.44140625" customWidth="1"/>
    <col min="10" max="10" width="15.5546875" customWidth="1"/>
  </cols>
  <sheetData>
    <row r="1" spans="1:10" ht="21">
      <c r="A1" s="128" t="s">
        <v>118</v>
      </c>
      <c r="B1" s="128"/>
    </row>
    <row r="2" spans="1:10" ht="15.6">
      <c r="A2" s="83" t="s">
        <v>88</v>
      </c>
      <c r="B2" s="83"/>
      <c r="F2" s="9"/>
      <c r="G2" s="49" t="s">
        <v>22</v>
      </c>
      <c r="H2" s="49" t="s">
        <v>23</v>
      </c>
      <c r="I2" s="49" t="s">
        <v>24</v>
      </c>
      <c r="J2" s="49" t="s">
        <v>68</v>
      </c>
    </row>
    <row r="3" spans="1:10" ht="15.6">
      <c r="A3" s="65" t="s">
        <v>26</v>
      </c>
      <c r="B3" s="82">
        <v>55000</v>
      </c>
      <c r="F3" s="92" t="s">
        <v>28</v>
      </c>
      <c r="G3" s="84">
        <f>SUM($B$10:$B$15)</f>
        <v>17000</v>
      </c>
      <c r="H3" s="84">
        <f t="shared" ref="H3:J3" si="0">SUM($B$10:$B$15)</f>
        <v>17000</v>
      </c>
      <c r="I3" s="84">
        <f t="shared" si="0"/>
        <v>17000</v>
      </c>
      <c r="J3" s="84">
        <f t="shared" si="0"/>
        <v>17000</v>
      </c>
    </row>
    <row r="4" spans="1:10" ht="15.6">
      <c r="A4" s="65" t="s">
        <v>27</v>
      </c>
      <c r="B4" s="82">
        <v>60000</v>
      </c>
      <c r="F4" s="92" t="s">
        <v>34</v>
      </c>
      <c r="G4" s="84">
        <f>SUM(B19:B20)</f>
        <v>12500</v>
      </c>
      <c r="H4" s="84">
        <f>SUM(B22:B23)</f>
        <v>10000</v>
      </c>
      <c r="I4" s="84">
        <f>SUM(B25:B26)</f>
        <v>10000</v>
      </c>
      <c r="J4" s="84">
        <f>SUM(B28:B31)</f>
        <v>8000</v>
      </c>
    </row>
    <row r="5" spans="1:10" ht="15.6">
      <c r="A5" s="65" t="s">
        <v>86</v>
      </c>
      <c r="B5" s="82">
        <v>60000</v>
      </c>
      <c r="F5" s="92" t="s">
        <v>69</v>
      </c>
      <c r="G5" s="84">
        <v>5000</v>
      </c>
      <c r="H5" s="84">
        <v>5000</v>
      </c>
      <c r="I5" s="84">
        <v>5000</v>
      </c>
      <c r="J5" s="84">
        <v>5000</v>
      </c>
    </row>
    <row r="6" spans="1:10" ht="15.6">
      <c r="A6" s="65" t="s">
        <v>87</v>
      </c>
      <c r="B6" s="82">
        <v>45000</v>
      </c>
      <c r="F6" s="92" t="s">
        <v>70</v>
      </c>
      <c r="G6" s="84">
        <f>B3</f>
        <v>55000</v>
      </c>
      <c r="H6" s="84">
        <f>B4</f>
        <v>60000</v>
      </c>
      <c r="I6" s="84">
        <f>B5</f>
        <v>60000</v>
      </c>
      <c r="J6" s="84">
        <f>B6</f>
        <v>45000</v>
      </c>
    </row>
    <row r="7" spans="1:10" ht="15.6">
      <c r="A7" s="1"/>
      <c r="B7" s="1"/>
    </row>
    <row r="8" spans="1:10" ht="15.6">
      <c r="A8" s="125" t="s">
        <v>89</v>
      </c>
      <c r="B8" s="125"/>
      <c r="F8" s="3"/>
      <c r="G8" s="49" t="s">
        <v>22</v>
      </c>
      <c r="H8" s="49" t="s">
        <v>23</v>
      </c>
      <c r="I8" s="49" t="s">
        <v>24</v>
      </c>
      <c r="J8" s="49" t="s">
        <v>68</v>
      </c>
    </row>
    <row r="9" spans="1:10" ht="18">
      <c r="A9" s="126" t="s">
        <v>28</v>
      </c>
      <c r="B9" s="126"/>
      <c r="D9" s="100" t="s">
        <v>119</v>
      </c>
      <c r="F9" s="92" t="s">
        <v>72</v>
      </c>
      <c r="G9" s="90">
        <v>3000</v>
      </c>
      <c r="H9" s="90">
        <v>5090</v>
      </c>
      <c r="I9" s="90">
        <v>5000</v>
      </c>
      <c r="J9" s="90">
        <v>7137</v>
      </c>
    </row>
    <row r="10" spans="1:10" ht="15.6">
      <c r="A10" s="44" t="s">
        <v>29</v>
      </c>
      <c r="B10" s="45">
        <v>5000</v>
      </c>
      <c r="F10" s="92" t="s">
        <v>28</v>
      </c>
      <c r="G10" s="88">
        <f>G9*G3</f>
        <v>51000000</v>
      </c>
      <c r="H10" s="88">
        <f t="shared" ref="H10:J10" si="1">H9*H3</f>
        <v>86530000</v>
      </c>
      <c r="I10" s="88">
        <f t="shared" si="1"/>
        <v>85000000</v>
      </c>
      <c r="J10" s="88">
        <f t="shared" si="1"/>
        <v>121329000</v>
      </c>
    </row>
    <row r="11" spans="1:10" ht="15.6">
      <c r="A11" s="44" t="s">
        <v>30</v>
      </c>
      <c r="B11" s="45">
        <v>2000</v>
      </c>
      <c r="D11" s="85" t="s">
        <v>101</v>
      </c>
      <c r="E11" s="86">
        <v>0.4</v>
      </c>
      <c r="F11" s="92" t="s">
        <v>34</v>
      </c>
      <c r="G11" s="88">
        <f>G9*G4</f>
        <v>37500000</v>
      </c>
      <c r="H11" s="88">
        <f t="shared" ref="H11:J11" si="2">H9*H4</f>
        <v>50900000</v>
      </c>
      <c r="I11" s="88">
        <f t="shared" si="2"/>
        <v>50000000</v>
      </c>
      <c r="J11" s="88">
        <f t="shared" si="2"/>
        <v>57096000</v>
      </c>
    </row>
    <row r="12" spans="1:10" ht="15.6">
      <c r="A12" s="44" t="s">
        <v>71</v>
      </c>
      <c r="B12" s="45">
        <v>2000</v>
      </c>
      <c r="F12" s="92" t="s">
        <v>73</v>
      </c>
      <c r="G12" s="89">
        <f>G9*$E$11</f>
        <v>1200</v>
      </c>
      <c r="H12" s="89">
        <f t="shared" ref="H12:J12" si="3">H9*$E$11</f>
        <v>2036</v>
      </c>
      <c r="I12" s="89">
        <f t="shared" si="3"/>
        <v>2000</v>
      </c>
      <c r="J12" s="89">
        <f t="shared" si="3"/>
        <v>2854.8</v>
      </c>
    </row>
    <row r="13" spans="1:10" ht="15.6">
      <c r="A13" s="44" t="s">
        <v>31</v>
      </c>
      <c r="B13" s="45">
        <v>4500</v>
      </c>
      <c r="F13" s="92" t="s">
        <v>69</v>
      </c>
      <c r="G13" s="88">
        <f>G12*G5</f>
        <v>6000000</v>
      </c>
      <c r="H13" s="88">
        <f t="shared" ref="H13:J13" si="4">H12*H5</f>
        <v>10180000</v>
      </c>
      <c r="I13" s="88">
        <f t="shared" si="4"/>
        <v>10000000</v>
      </c>
      <c r="J13" s="88">
        <f t="shared" si="4"/>
        <v>14274000</v>
      </c>
    </row>
    <row r="14" spans="1:10" ht="15.6">
      <c r="A14" s="44" t="s">
        <v>32</v>
      </c>
      <c r="B14" s="45">
        <v>2000</v>
      </c>
      <c r="F14" s="92" t="s">
        <v>57</v>
      </c>
      <c r="G14" s="88">
        <f>G9*G6</f>
        <v>165000000</v>
      </c>
      <c r="H14" s="88">
        <f t="shared" ref="H14:J14" si="5">H9*H6</f>
        <v>305400000</v>
      </c>
      <c r="I14" s="88">
        <f t="shared" si="5"/>
        <v>300000000</v>
      </c>
      <c r="J14" s="88">
        <f t="shared" si="5"/>
        <v>321165000</v>
      </c>
    </row>
    <row r="15" spans="1:10" ht="15.6">
      <c r="A15" s="44" t="s">
        <v>33</v>
      </c>
      <c r="B15" s="45">
        <v>1500</v>
      </c>
    </row>
    <row r="16" spans="1:10" ht="21">
      <c r="A16" s="46"/>
      <c r="B16" s="46"/>
      <c r="D16" s="101" t="s">
        <v>106</v>
      </c>
      <c r="F16" s="62"/>
      <c r="G16" s="91"/>
      <c r="H16" s="93" t="s">
        <v>75</v>
      </c>
      <c r="I16" s="93" t="s">
        <v>74</v>
      </c>
    </row>
    <row r="17" spans="1:9" ht="18">
      <c r="A17" s="127" t="s">
        <v>34</v>
      </c>
      <c r="B17" s="127"/>
      <c r="C17" s="104" t="s">
        <v>179</v>
      </c>
      <c r="F17" s="92" t="s">
        <v>28</v>
      </c>
      <c r="G17" s="88">
        <f>SUM(G10:J10)</f>
        <v>343859000</v>
      </c>
      <c r="H17" s="33">
        <f>450000000</f>
        <v>450000000</v>
      </c>
      <c r="I17" s="87"/>
    </row>
    <row r="18" spans="1:9" ht="15.6">
      <c r="A18" s="47" t="s">
        <v>26</v>
      </c>
      <c r="B18" s="48"/>
      <c r="F18" s="92" t="s">
        <v>34</v>
      </c>
      <c r="G18" s="88">
        <f>SUM(G11:J11)</f>
        <v>195496000</v>
      </c>
      <c r="H18" s="33">
        <v>200000000</v>
      </c>
      <c r="I18" s="87"/>
    </row>
    <row r="19" spans="1:9" ht="19.95" customHeight="1">
      <c r="A19" s="44" t="s">
        <v>35</v>
      </c>
      <c r="B19" s="45">
        <v>9000</v>
      </c>
      <c r="F19" s="92" t="s">
        <v>81</v>
      </c>
      <c r="G19" s="88">
        <f>J11</f>
        <v>57096000</v>
      </c>
      <c r="H19" s="33">
        <v>150000000</v>
      </c>
      <c r="I19" s="87"/>
    </row>
    <row r="20" spans="1:9" ht="19.95" customHeight="1">
      <c r="A20" s="44" t="s">
        <v>36</v>
      </c>
      <c r="B20" s="45">
        <v>3500</v>
      </c>
      <c r="F20" s="92" t="s">
        <v>80</v>
      </c>
      <c r="G20" s="87">
        <f>G9</f>
        <v>3000</v>
      </c>
      <c r="H20" s="87"/>
      <c r="I20" s="87">
        <v>3000</v>
      </c>
    </row>
    <row r="21" spans="1:9" ht="19.95" customHeight="1">
      <c r="A21" s="11" t="s">
        <v>27</v>
      </c>
      <c r="B21" s="2"/>
      <c r="F21" s="92" t="s">
        <v>79</v>
      </c>
      <c r="G21" s="87">
        <f>SUM(G9:H9)</f>
        <v>8090</v>
      </c>
      <c r="H21" s="89">
        <f>SUM(G9:J9)*0.4</f>
        <v>8090.8</v>
      </c>
      <c r="I21" s="87"/>
    </row>
    <row r="22" spans="1:9" ht="19.95" customHeight="1">
      <c r="A22" s="44" t="s">
        <v>37</v>
      </c>
      <c r="B22" s="45">
        <v>7000</v>
      </c>
      <c r="F22" s="92" t="s">
        <v>39</v>
      </c>
      <c r="G22" s="87">
        <f>I9</f>
        <v>5000</v>
      </c>
      <c r="H22" s="87">
        <v>5000</v>
      </c>
      <c r="I22" s="87"/>
    </row>
    <row r="23" spans="1:9" ht="19.95" customHeight="1">
      <c r="A23" s="44" t="s">
        <v>38</v>
      </c>
      <c r="B23" s="45">
        <v>3000</v>
      </c>
      <c r="F23" s="92" t="s">
        <v>68</v>
      </c>
      <c r="G23" s="87">
        <f>J9</f>
        <v>7137</v>
      </c>
      <c r="H23" s="89">
        <f>SUM(G9:J9)*0.5</f>
        <v>10113.5</v>
      </c>
      <c r="I23" s="89">
        <f>SUM(G9:J9)*0.3</f>
        <v>6068.0999999999995</v>
      </c>
    </row>
    <row r="24" spans="1:9" ht="19.95" customHeight="1">
      <c r="A24" s="11" t="s">
        <v>86</v>
      </c>
      <c r="B24" s="2"/>
      <c r="F24" s="92" t="s">
        <v>57</v>
      </c>
      <c r="G24" s="88">
        <f>SUM(G14:J14)</f>
        <v>1091565000</v>
      </c>
    </row>
    <row r="25" spans="1:9" ht="19.95" customHeight="1">
      <c r="A25" s="44" t="s">
        <v>40</v>
      </c>
      <c r="B25" s="45">
        <v>8000</v>
      </c>
      <c r="F25" s="92" t="s">
        <v>48</v>
      </c>
      <c r="G25" s="88">
        <f>SUM(G10:J10)+SUM(G11:J11)+SUM(G13:J13)</f>
        <v>579809000</v>
      </c>
    </row>
    <row r="26" spans="1:9" ht="19.95" customHeight="1">
      <c r="A26" s="44" t="s">
        <v>41</v>
      </c>
      <c r="B26" s="45">
        <v>2000</v>
      </c>
      <c r="F26" s="92" t="s">
        <v>76</v>
      </c>
      <c r="G26" s="88">
        <f>G24-G25</f>
        <v>511756000</v>
      </c>
    </row>
    <row r="27" spans="1:9" ht="19.95" customHeight="1">
      <c r="A27" s="11" t="s">
        <v>42</v>
      </c>
      <c r="B27" s="2"/>
    </row>
    <row r="28" spans="1:9" ht="19.95" customHeight="1">
      <c r="A28" s="44" t="s">
        <v>43</v>
      </c>
      <c r="B28" s="45">
        <v>3000</v>
      </c>
    </row>
    <row r="29" spans="1:9" ht="19.95" customHeight="1">
      <c r="A29" s="44" t="s">
        <v>44</v>
      </c>
      <c r="B29" s="45">
        <v>1000</v>
      </c>
    </row>
    <row r="30" spans="1:9" ht="19.95" customHeight="1">
      <c r="A30" s="44" t="s">
        <v>45</v>
      </c>
      <c r="B30" s="45">
        <v>2000</v>
      </c>
    </row>
    <row r="31" spans="1:9" ht="19.95" customHeight="1">
      <c r="A31" s="44" t="s">
        <v>46</v>
      </c>
      <c r="B31" s="45">
        <v>2000</v>
      </c>
    </row>
  </sheetData>
  <scenarios current="0">
    <scenario name="KICHBAN" count="4" user="USER" comment="Đã tạo bởi USER bật 4/17/2026">
      <inputCells r="G9" val="3000"/>
      <inputCells r="H9" val="5090"/>
      <inputCells r="I9" val="5000"/>
      <inputCells r="J9" val="7137"/>
    </scenario>
  </scenarios>
  <mergeCells count="4">
    <mergeCell ref="A8:B8"/>
    <mergeCell ref="A9:B9"/>
    <mergeCell ref="A17:B17"/>
    <mergeCell ref="A1:B1"/>
  </mergeCells>
  <conditionalFormatting sqref="G17:H1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{82EEAB2F-9901-4697-A30D-53C33C0FADC0}</x14:id>
        </ext>
      </extLst>
    </cfRule>
  </conditionalFormatting>
  <conditionalFormatting sqref="G18:H1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{E9F2BB02-4CF0-41B5-8FA1-2D5008C2A12A}</x14:id>
        </ext>
      </extLst>
    </cfRule>
  </conditionalFormatting>
  <conditionalFormatting sqref="G19:H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{FD1FB76A-564B-46DD-A661-198A08A8A630}</x14:id>
        </ext>
      </extLst>
    </cfRule>
  </conditionalFormatting>
  <pageMargins left="0.7" right="0.7" top="0.75" bottom="0.75" header="0.3" footer="0.3"/>
  <ignoredErrors>
    <ignoredError sqref="G21" formulaRange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Scroll Bar 3">
              <controlPr defaultSize="0" autoPict="0">
                <anchor moveWithCells="1">
                  <from>
                    <xdr:col>2</xdr:col>
                    <xdr:colOff>22860</xdr:colOff>
                    <xdr:row>18</xdr:row>
                    <xdr:rowOff>0</xdr:rowOff>
                  </from>
                  <to>
                    <xdr:col>2</xdr:col>
                    <xdr:colOff>1623060</xdr:colOff>
                    <xdr:row>18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" name="Scroll Bar 4">
              <controlPr defaultSize="0" autoPict="0">
                <anchor moveWithCells="1">
                  <from>
                    <xdr:col>2</xdr:col>
                    <xdr:colOff>22860</xdr:colOff>
                    <xdr:row>19</xdr:row>
                    <xdr:rowOff>0</xdr:rowOff>
                  </from>
                  <to>
                    <xdr:col>2</xdr:col>
                    <xdr:colOff>1623060</xdr:colOff>
                    <xdr:row>19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5" name="Scroll Bar 9">
              <controlPr defaultSize="0" autoPict="0">
                <anchor moveWithCells="1">
                  <from>
                    <xdr:col>2</xdr:col>
                    <xdr:colOff>7620</xdr:colOff>
                    <xdr:row>20</xdr:row>
                    <xdr:rowOff>243840</xdr:rowOff>
                  </from>
                  <to>
                    <xdr:col>2</xdr:col>
                    <xdr:colOff>1638300</xdr:colOff>
                    <xdr:row>21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6" name="Scroll Bar 10">
              <controlPr defaultSize="0" autoPict="0">
                <anchor moveWithCells="1">
                  <from>
                    <xdr:col>2</xdr:col>
                    <xdr:colOff>15240</xdr:colOff>
                    <xdr:row>22</xdr:row>
                    <xdr:rowOff>7620</xdr:rowOff>
                  </from>
                  <to>
                    <xdr:col>2</xdr:col>
                    <xdr:colOff>1645920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7" name="Scroll Bar 11">
              <controlPr defaultSize="0" autoPict="0">
                <anchor moveWithCells="1">
                  <from>
                    <xdr:col>2</xdr:col>
                    <xdr:colOff>15240</xdr:colOff>
                    <xdr:row>24</xdr:row>
                    <xdr:rowOff>0</xdr:rowOff>
                  </from>
                  <to>
                    <xdr:col>2</xdr:col>
                    <xdr:colOff>1645920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8" name="Scroll Bar 12">
              <controlPr defaultSize="0" autoPict="0">
                <anchor moveWithCells="1">
                  <from>
                    <xdr:col>2</xdr:col>
                    <xdr:colOff>15240</xdr:colOff>
                    <xdr:row>25</xdr:row>
                    <xdr:rowOff>7620</xdr:rowOff>
                  </from>
                  <to>
                    <xdr:col>2</xdr:col>
                    <xdr:colOff>1645920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9" name="Scroll Bar 13">
              <controlPr defaultSize="0" autoPict="0">
                <anchor moveWithCells="1">
                  <from>
                    <xdr:col>2</xdr:col>
                    <xdr:colOff>7620</xdr:colOff>
                    <xdr:row>27</xdr:row>
                    <xdr:rowOff>7620</xdr:rowOff>
                  </from>
                  <to>
                    <xdr:col>2</xdr:col>
                    <xdr:colOff>1638300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0" name="Scroll Bar 14">
              <controlPr defaultSize="0" autoPict="0">
                <anchor moveWithCells="1">
                  <from>
                    <xdr:col>2</xdr:col>
                    <xdr:colOff>7620</xdr:colOff>
                    <xdr:row>28</xdr:row>
                    <xdr:rowOff>22860</xdr:rowOff>
                  </from>
                  <to>
                    <xdr:col>2</xdr:col>
                    <xdr:colOff>1638300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1" name="Scroll Bar 15">
              <controlPr defaultSize="0" autoPict="0">
                <anchor moveWithCells="1">
                  <from>
                    <xdr:col>2</xdr:col>
                    <xdr:colOff>7620</xdr:colOff>
                    <xdr:row>29</xdr:row>
                    <xdr:rowOff>22860</xdr:rowOff>
                  </from>
                  <to>
                    <xdr:col>2</xdr:col>
                    <xdr:colOff>1638300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2" name="Scroll Bar 16">
              <controlPr defaultSize="0" autoPict="0">
                <anchor moveWithCells="1">
                  <from>
                    <xdr:col>2</xdr:col>
                    <xdr:colOff>7620</xdr:colOff>
                    <xdr:row>30</xdr:row>
                    <xdr:rowOff>30480</xdr:rowOff>
                  </from>
                  <to>
                    <xdr:col>2</xdr:col>
                    <xdr:colOff>1638300</xdr:colOff>
                    <xdr:row>31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EEAB2F-9901-4697-A30D-53C33C0FAD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G17:H17</xm:sqref>
        </x14:conditionalFormatting>
        <x14:conditionalFormatting xmlns:xm="http://schemas.microsoft.com/office/excel/2006/main">
          <x14:cfRule type="dataBar" id="{E9F2BB02-4CF0-41B5-8FA1-2D5008C2A1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G18:H18</xm:sqref>
        </x14:conditionalFormatting>
        <x14:conditionalFormatting xmlns:xm="http://schemas.microsoft.com/office/excel/2006/main">
          <x14:cfRule type="dataBar" id="{FD1FB76A-564B-46DD-A661-198A08A8A6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G19:H19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E400-4FEA-4CF5-B4D2-A38CFAAA51EE}">
  <sheetPr codeName="Trang_tính5"/>
  <dimension ref="A1:L19"/>
  <sheetViews>
    <sheetView tabSelected="1" workbookViewId="0">
      <selection activeCell="H22" sqref="H22"/>
    </sheetView>
  </sheetViews>
  <sheetFormatPr defaultRowHeight="14.4"/>
  <cols>
    <col min="1" max="1" width="34.21875" customWidth="1"/>
    <col min="2" max="2" width="16.44140625" bestFit="1" customWidth="1"/>
    <col min="3" max="3" width="24.44140625" customWidth="1"/>
    <col min="6" max="6" width="12.21875" bestFit="1" customWidth="1"/>
    <col min="7" max="12" width="14.88671875" bestFit="1" customWidth="1"/>
  </cols>
  <sheetData>
    <row r="1" spans="1:12">
      <c r="E1" s="157" t="s">
        <v>113</v>
      </c>
      <c r="F1" s="157"/>
      <c r="G1" s="157"/>
      <c r="H1" s="157"/>
      <c r="I1" s="157"/>
      <c r="J1" s="157"/>
      <c r="K1" s="157"/>
      <c r="L1" s="157"/>
    </row>
    <row r="2" spans="1:12">
      <c r="A2" t="s">
        <v>107</v>
      </c>
      <c r="E2" s="85"/>
      <c r="F2" s="155" t="s">
        <v>69</v>
      </c>
      <c r="G2" s="155"/>
      <c r="H2" s="155"/>
      <c r="I2" s="155"/>
      <c r="J2" s="155"/>
      <c r="K2" s="155"/>
      <c r="L2" s="155"/>
    </row>
    <row r="3" spans="1:12" ht="15.6">
      <c r="A3" s="99" t="s">
        <v>108</v>
      </c>
      <c r="B3" s="106">
        <f>SUM('Mô hình tìm phương án tối ưu'!G9:J9)</f>
        <v>20227</v>
      </c>
      <c r="E3" s="156" t="s">
        <v>112</v>
      </c>
      <c r="F3" s="97">
        <f>B12</f>
        <v>461756000</v>
      </c>
      <c r="G3" s="98">
        <v>4000</v>
      </c>
      <c r="H3" s="98">
        <v>5000</v>
      </c>
      <c r="I3" s="98">
        <v>6000</v>
      </c>
      <c r="J3" s="98">
        <v>7000</v>
      </c>
      <c r="K3" s="98">
        <v>8000</v>
      </c>
      <c r="L3" s="98">
        <v>9000</v>
      </c>
    </row>
    <row r="4" spans="1:12" ht="15.6" customHeight="1">
      <c r="A4" s="99" t="s">
        <v>77</v>
      </c>
      <c r="B4" s="107">
        <f>'Mô hình tìm phương án tối ưu'!G17+'Mô hình tìm phương án tối ưu'!G18</f>
        <v>539355000</v>
      </c>
      <c r="E4" s="156"/>
      <c r="F4" s="94">
        <v>0.4</v>
      </c>
      <c r="G4" s="4">
        <f t="dataTable" ref="G4:L10" dt2D="1" dtr="1" r1="B6" r2="B5"/>
        <v>469846800</v>
      </c>
      <c r="H4" s="4">
        <v>461756000</v>
      </c>
      <c r="I4" s="4">
        <v>453665200</v>
      </c>
      <c r="J4" s="4">
        <v>445574400</v>
      </c>
      <c r="K4" s="4">
        <v>437483600</v>
      </c>
      <c r="L4" s="4">
        <v>429392800</v>
      </c>
    </row>
    <row r="5" spans="1:12" ht="15.6">
      <c r="A5" s="99" t="s">
        <v>78</v>
      </c>
      <c r="B5" s="108">
        <v>0.4</v>
      </c>
      <c r="E5" s="156"/>
      <c r="F5" s="94">
        <v>0.45</v>
      </c>
      <c r="G5" s="4">
        <v>465801400</v>
      </c>
      <c r="H5" s="4">
        <v>456699250</v>
      </c>
      <c r="I5" s="4">
        <v>447597100</v>
      </c>
      <c r="J5" s="4">
        <v>438494950</v>
      </c>
      <c r="K5" s="4">
        <v>429392800</v>
      </c>
      <c r="L5" s="4">
        <v>420290650</v>
      </c>
    </row>
    <row r="6" spans="1:12" ht="15.6">
      <c r="A6" s="99" t="s">
        <v>109</v>
      </c>
      <c r="B6" s="109">
        <v>5000</v>
      </c>
      <c r="E6" s="156"/>
      <c r="F6" s="94">
        <v>0.5</v>
      </c>
      <c r="G6" s="4">
        <v>461756000</v>
      </c>
      <c r="H6" s="4">
        <v>451642500</v>
      </c>
      <c r="I6" s="4">
        <v>441529000</v>
      </c>
      <c r="J6" s="4">
        <v>431415500</v>
      </c>
      <c r="K6" s="4">
        <v>421302000</v>
      </c>
      <c r="L6" s="4">
        <v>411188500</v>
      </c>
    </row>
    <row r="7" spans="1:12" ht="15.6">
      <c r="A7" s="99" t="s">
        <v>65</v>
      </c>
      <c r="B7" s="95">
        <f>B3*B5</f>
        <v>8090.8</v>
      </c>
      <c r="E7" s="156"/>
      <c r="F7" s="94">
        <v>0.55000000000000004</v>
      </c>
      <c r="G7" s="4">
        <v>457710600</v>
      </c>
      <c r="H7" s="4">
        <v>446585750</v>
      </c>
      <c r="I7" s="4">
        <v>435460900</v>
      </c>
      <c r="J7" s="4">
        <v>424336050</v>
      </c>
      <c r="K7" s="4">
        <v>413211200</v>
      </c>
      <c r="L7" s="4">
        <v>402086350</v>
      </c>
    </row>
    <row r="8" spans="1:12" ht="15.6">
      <c r="A8" s="99" t="s">
        <v>57</v>
      </c>
      <c r="B8" s="107">
        <f>SUM('Mô hình tìm phương án tối ưu'!G14:J14)</f>
        <v>1091565000</v>
      </c>
      <c r="E8" s="156"/>
      <c r="F8" s="94">
        <v>0.6</v>
      </c>
      <c r="G8" s="4">
        <v>453665200</v>
      </c>
      <c r="H8" s="4">
        <v>441529000</v>
      </c>
      <c r="I8" s="4">
        <v>429392800</v>
      </c>
      <c r="J8" s="4">
        <v>417256600</v>
      </c>
      <c r="K8" s="4">
        <v>405120400</v>
      </c>
      <c r="L8" s="4">
        <v>392984200</v>
      </c>
    </row>
    <row r="9" spans="1:12" ht="15.6">
      <c r="A9" s="99" t="s">
        <v>82</v>
      </c>
      <c r="B9" s="84">
        <v>50000000</v>
      </c>
      <c r="E9" s="156"/>
      <c r="F9" s="94">
        <v>0.65</v>
      </c>
      <c r="G9" s="4">
        <v>449619800</v>
      </c>
      <c r="H9" s="4">
        <v>436472250</v>
      </c>
      <c r="I9" s="4">
        <v>423324700</v>
      </c>
      <c r="J9" s="4">
        <v>410177150</v>
      </c>
      <c r="K9" s="4">
        <v>397029600</v>
      </c>
      <c r="L9" s="4">
        <v>383882050</v>
      </c>
    </row>
    <row r="10" spans="1:12" ht="15.6">
      <c r="A10" s="99" t="s">
        <v>110</v>
      </c>
      <c r="B10" s="84">
        <f>B7*B6</f>
        <v>40454000</v>
      </c>
      <c r="E10" s="156"/>
      <c r="F10" s="94">
        <v>0.7</v>
      </c>
      <c r="G10" s="4">
        <v>445574400</v>
      </c>
      <c r="H10" s="4">
        <v>431415500</v>
      </c>
      <c r="I10" s="4">
        <v>417256600</v>
      </c>
      <c r="J10" s="4">
        <v>403097700</v>
      </c>
      <c r="K10" s="4">
        <v>388938800</v>
      </c>
      <c r="L10" s="4">
        <v>374779900</v>
      </c>
    </row>
    <row r="11" spans="1:12" ht="15.6">
      <c r="A11" s="99" t="s">
        <v>111</v>
      </c>
      <c r="B11" s="96">
        <f>B4+B9+B10</f>
        <v>629809000</v>
      </c>
    </row>
    <row r="12" spans="1:12" ht="15.6">
      <c r="A12" s="99" t="s">
        <v>76</v>
      </c>
      <c r="B12" s="96">
        <f>B8-B11</f>
        <v>461756000</v>
      </c>
    </row>
    <row r="19" spans="5:7" ht="21">
      <c r="E19" s="124" t="s">
        <v>180</v>
      </c>
      <c r="F19" s="124"/>
      <c r="G19" t="str" cm="1">
        <f t="array" ref="G19">_xldudf_SAI_ASK()</f>
        <v>You need to purchase more IQ points to run AI functions. Click on the top right of the tool and select 'Upgrade My Plan'.</v>
      </c>
    </row>
  </sheetData>
  <mergeCells count="3">
    <mergeCell ref="F2:L2"/>
    <mergeCell ref="E3:E10"/>
    <mergeCell ref="E1:L1"/>
  </mergeCells>
  <conditionalFormatting sqref="G4:L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Menu</vt:lpstr>
      <vt:lpstr>Sheet_Data</vt:lpstr>
      <vt:lpstr>Mô hình tìm hiệu quả đầu tư</vt:lpstr>
      <vt:lpstr>Answer Report 1</vt:lpstr>
      <vt:lpstr>Mô hình tìm phương án tối ưu</vt:lpstr>
      <vt:lpstr>Mô hình phân tích độ nhạy</vt:lpstr>
    </vt:vector>
  </TitlesOfParts>
  <Company>namcuong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Hồng Phúc</dc:creator>
  <cp:lastModifiedBy>Phan Hồng Phúc</cp:lastModifiedBy>
  <dcterms:created xsi:type="dcterms:W3CDTF">2026-04-04T06:44:10Z</dcterms:created>
  <dcterms:modified xsi:type="dcterms:W3CDTF">2026-04-19T06:30:19Z</dcterms:modified>
</cp:coreProperties>
</file>